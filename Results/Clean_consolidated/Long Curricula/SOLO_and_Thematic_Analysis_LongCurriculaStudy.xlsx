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jensykes/Phd_Git/Results/Clean_consolidated/Long Curricula/"/>
    </mc:Choice>
  </mc:AlternateContent>
  <xr:revisionPtr revIDLastSave="0" documentId="8_{1F3CB1E4-502B-8841-9047-F16A73085A3F}" xr6:coauthVersionLast="47" xr6:coauthVersionMax="47" xr10:uidLastSave="{00000000-0000-0000-0000-000000000000}"/>
  <bookViews>
    <workbookView xWindow="1280" yWindow="1940" windowWidth="28960" windowHeight="15040" xr2:uid="{00000000-000D-0000-FFFF-FFFF00000000}"/>
  </bookViews>
  <sheets>
    <sheet name="Data_Entry_SOLO" sheetId="7" r:id="rId1"/>
    <sheet name="Data_Entry_TA_Coding" sheetId="1" r:id="rId2"/>
    <sheet name="TA_Code_Tracker" sheetId="2" r:id="rId3"/>
    <sheet name="Theme_Tracker" sheetId="3" r:id="rId4"/>
    <sheet name="Multi-Study-Patterns" sheetId="4" r:id="rId5"/>
    <sheet name="Hypothesis_Tracker" sheetId="5" r:id="rId6"/>
    <sheet name="Audit" sheetId="9"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1" l="1"/>
  <c r="C13"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<sst xmlns="http://schemas.openxmlformats.org/spreadsheetml/2006/main" count="787" uniqueCount="535">
  <si>
    <t>Participant ID</t>
  </si>
  <si>
    <t>Response</t>
  </si>
  <si>
    <t>Initial Codes</t>
  </si>
  <si>
    <t>Notes</t>
  </si>
  <si>
    <t>QUESTION 1</t>
  </si>
  <si>
    <t>P02</t>
  </si>
  <si>
    <t>P03</t>
  </si>
  <si>
    <t>P04</t>
  </si>
  <si>
    <t>P05</t>
  </si>
  <si>
    <t>P06</t>
  </si>
  <si>
    <t>P07</t>
  </si>
  <si>
    <t>P08</t>
  </si>
  <si>
    <t>P09</t>
  </si>
  <si>
    <t>P10</t>
  </si>
  <si>
    <t>QUESTION 2</t>
  </si>
  <si>
    <t>QUESTION 3</t>
  </si>
  <si>
    <t>QUESTION 4</t>
  </si>
  <si>
    <t>Code Name</t>
  </si>
  <si>
    <t>Definition</t>
  </si>
  <si>
    <t>Count</t>
  </si>
  <si>
    <t>Related Questions</t>
  </si>
  <si>
    <t>Theme Name</t>
  </si>
  <si>
    <t>Theme Definition</t>
  </si>
  <si>
    <t>Related Codes</t>
  </si>
  <si>
    <t>Evidence / Examples</t>
  </si>
  <si>
    <t>Quantitative-qualitative triangulation</t>
  </si>
  <si>
    <t>Hypothesized Theme</t>
  </si>
  <si>
    <t>Confirmed in Data?</t>
  </si>
  <si>
    <t>Evidence / Contradictions / Variations</t>
  </si>
  <si>
    <t>Blink: Describe what you've learnt in your own words.
It's important to note this is not a test. You do not need to use technical terminology and there is no right or wrong answer.</t>
  </si>
  <si>
    <t>P01
7986520b1dd78d685fcacfafebf255b85180f30607ca00092d9f1c543815318c</t>
  </si>
  <si>
    <t>everything was communicated clearly and easily understood</t>
  </si>
  <si>
    <t>P02
81134bafe57f3a70e921c5c5a7ab5885fff3778f212f6b9626e400dcaa26e29b</t>
  </si>
  <si>
    <t>important to include a delay/waiting time so that we are able to see this</t>
  </si>
  <si>
    <t>P03
0b6722a8adfb93540bc8b6008e2e82d9940e1f5a2c48af03e0dc04524ffecd0e</t>
  </si>
  <si>
    <t>Basic understanding of codes and circuits, downloads and awareness of new applications</t>
  </si>
  <si>
    <t>There were many ways to layout the breadboard with the components and was interesting to see people's preferences and thought process of it.</t>
  </si>
  <si>
    <t>P04
059f727ac7ff5dcdc2fb071c39101e66a9eb1c08f79fa26fd1ad01f335909130</t>
  </si>
  <si>
    <t>P05
9fbbe982e10d5be5810770259fa95ce2db0cdaf8ec937ae64eab931f06ab4177</t>
  </si>
  <si>
    <t>i theoretically understand why the codes needs delay to show flickering - but on tinkercad i can't get it to flicker</t>
  </si>
  <si>
    <t>Blink 02 : Describe what you've learnt in your own words.
It's important to note this is not a test. You do not need to use technical terminology and there is no right or wrong answer."</t>
  </si>
  <si>
    <t>Fade 01: Describe what you've learnt in your own words.
It's important to note this is not a test. You do not need to use technical terminology and there is no right or wrong answer."</t>
  </si>
  <si>
    <t>Fade 02: Describe what you've learnt in your own words.
It's important to note this is not a test. You do not need to use technical terminology and there is no right or wrong answer."</t>
  </si>
  <si>
    <t>QUESTION 5</t>
  </si>
  <si>
    <t>QUESTION 6</t>
  </si>
  <si>
    <t>Control 01: Describe what you've learnt in your own words.
It's important to note this is not a test. You do not need to use technical terminology and there is no right or wrong answer."</t>
  </si>
  <si>
    <t>Control 02: Describe what you've learnt in your own words.
It's important to note this is not a test. You do not need to use technical terminology and there is no right or wrong answer."</t>
  </si>
  <si>
    <t>My resistor was too strong, so I had to re-arrange my circuit but otherwise the activity was easily followed, and the shield made the Arduino seem more simplistic.</t>
  </si>
  <si>
    <t>P06
864b9e0c5788a922865ed5e096ab58217255bf9acd79605e2e9ff4d828136dd9</t>
  </si>
  <si>
    <t>I was a bit confused this first time using it but I was having issues with my board so that might be what was confusing me.</t>
  </si>
  <si>
    <t>the feedback shield corresponds to the blink, very useful to know which pin is connected and working</t>
  </si>
  <si>
    <t>I learnt the very basics of how to make an LED blink. Using tinkercad reminds me a lot of scratch so it was very easy to grasp how to make the blocks connect. The lights on the shield make it easier to understand what's actually happening with the Aurduino.</t>
  </si>
  <si>
    <t>P07
9bf580174667f50b031047c34d189d5604521ef97f1b5c278537c3c97baf35b7</t>
  </si>
  <si>
    <t>it was hard lining up the pins because there wasn't numbers on the top layer - also wish I could see the green light from arduino underneath!</t>
  </si>
  <si>
    <t>P08
5c607f66c4a21215bdddbedde8eb8e3f939f9dcfc6e210c6dda2514d52d36103</t>
  </si>
  <si>
    <t>I had to restart my machine for the arduino software to recognised the port on my laptop, but once I had done this it worked as expected</t>
  </si>
  <si>
    <t>i learnt that the piece of hardware is supposed to identify where the problems are in the task. as in a specific light should light up to tell me if the issue is in the code, the hardware or my wiring .however my attachment didnt light up</t>
  </si>
  <si>
    <t>fb338e53da57ec89c638f24e8f87697a70d0c0d8e4cc3a56f754211d2c6f0444</t>
  </si>
  <si>
    <t>I fixed the issues I was having earlier and so got to properly try out the shield this time. It made a lot more sense now as I could see the corresponding light flashing alongside my LED :))</t>
  </si>
  <si>
    <t>it helps to visualise what's going on</t>
  </si>
  <si>
    <t>7c2bfb3bab5a8a5b6aca1e79d9471e48858f1641e80569ae93a47b9e74a84286</t>
  </si>
  <si>
    <t>for loops explained well and understood</t>
  </si>
  <si>
    <t>it doesnt blink red and I'm not sure why because my code was running without it blinking anywhere. Until i moved the GND to the pin next to 13</t>
  </si>
  <si>
    <t>6bdf0b2dfc2e0221960849943e884b3d4c6baf7cd25286caee29b9737ab3a343</t>
  </si>
  <si>
    <t>I am starting to understand the tasks a lot better now. I was confused at first how I would use the shield here but now realise its only for use with the Arduino</t>
  </si>
  <si>
    <t>Interesting too see all the variable that need to be accounted for.</t>
  </si>
  <si>
    <t>I changed it a few times to see what delay would give a good result. I think that 10 milliseconds was very good for a nice fast but smooth fade. The shield helped me understand how the PMW works within the Arduino Leonardo to execute this for loop. This is thanks to the useful LED lights that signal what is happening.</t>
  </si>
  <si>
    <t>0b4b6795fd082f8ea6f5d8da2b01f8d09d2a206e9c417201d08b049973f02642</t>
  </si>
  <si>
    <t>After doing the first fade, I grasped how this would work and I was able to add a delay and a for loop to make the fade out possible. It really helps visualise the PMW and what is happening with the c++ code. I think in general, tinkercad really helped me understand how the board works so that I was able to make the fade, I think the combo of having the shield and tinkercad helped me understand much faster than I normally would have.</t>
  </si>
  <si>
    <t>It is making a lot more sense now and I understand how the shield is helping me, though I didnt have any errors yet so I haven't yet seen how the shield will help me when that happens.</t>
  </si>
  <si>
    <t>I learned that the shield has LED's that correlate the PIN numbers used on the arduino showing me that the correct pin working</t>
  </si>
  <si>
    <t>i ahve the same issue - i can't get the feeback shield to light up:(</t>
  </si>
  <si>
    <t>I liked that the lights didnt just turn on and off, they gradually got brighter as I turned the dial which helped me see what it was doing better before I added the LED into the breadboard.</t>
  </si>
  <si>
    <t>The corresponding  LED's on the shield light up depending on the used pin. When the potentiometer is towards the very top of the values other LED's on the Shield light up but I'm not really sure why</t>
  </si>
  <si>
    <t>The shield made it easy to understand where the power was going on the Arduino, all the LEDs on the analog side were all lit up which signalled to me that they were all receiving power. As I was turning the dial it was easy to see the resistance in the board itself as the lights of the shield were fading, this was corresponding with the breadboard and the LED I had set up.</t>
  </si>
  <si>
    <t>The lights on the shield really help indicate what parts of the Aurduino are connected and using power. There is a bit of noise that makes the analog lights turn on which is slightly misleading but as long as you keep noise in mind, it is quite easy to grasp what's happening within the written code and the output from it. The lights turning on when the button is pressed makes it very easy to understand that the LED on the breadboard will be turning on too.</t>
  </si>
  <si>
    <t>I find having visual feedback of the pin activity helps with understanding how the flow or the signals works and made it easy to identify the signal pathways at play.</t>
  </si>
  <si>
    <t>faf31d6c11c5353986ec074f32232e435ded6c540bfc3d69fc04fda9f8edce86</t>
  </si>
  <si>
    <t>Though the sandbox nature of this exercise I've quickly learnt how code can compile with no errors and look fine at first but not give the result we want or expect. Through the use of p5js we've seen this in action and experimented with how live preview type coding can really help defend against functional errors that tilt on only one line of code.</t>
  </si>
  <si>
    <t>This exercise efficiently shows how p5js' layering works though it's compilation. By simply taking the last two lines of the draw function and placing them in the middle of the function (line 11) we completely change the side affect of the function. I've learnt how we can easily have the right code for our goal but it might just be layered or ordered wrongly.</t>
  </si>
  <si>
    <t>removing the background function allows the square to leave traces.</t>
  </si>
  <si>
    <t>//</t>
  </si>
  <si>
    <t xml:space="preserve">
P05
9bf580174667f50b031047c34d189d5604521ef97f1b5c278537c3c97baf35b7</t>
  </si>
  <si>
    <t>P05
9bf580174667f50b031047c34d189d5604521ef97f1b5c278537c3c97baf35b7</t>
  </si>
  <si>
    <t>Noise, Misleading
Easy to grasp.</t>
  </si>
  <si>
    <t>Visual feedback for pin activity
Easy to identify</t>
  </si>
  <si>
    <t>Easy to understand
See resistance 
Corresponding to breadboard</t>
  </si>
  <si>
    <t>Corresponding LEDs
Not sure why</t>
  </si>
  <si>
    <t>See what I'm doing
Before adding to breadboard</t>
  </si>
  <si>
    <t>Issues with shield</t>
  </si>
  <si>
    <t>Correlate LED to pins
showing correct pin is working</t>
  </si>
  <si>
    <t>Make a lot more sense</t>
  </si>
  <si>
    <t>Helps visualise PWM
Combo of shield + tinkerCAD
understand faster</t>
  </si>
  <si>
    <t>Changed a few times.
Understand how PWM works
Useful LED lights signal what's ahppening</t>
  </si>
  <si>
    <t>Interesting to see</t>
  </si>
  <si>
    <t>Understand tasks a lot better</t>
  </si>
  <si>
    <t>Understood</t>
  </si>
  <si>
    <t>Specific light to tell me if there are issues
Attachment didn't light up</t>
  </si>
  <si>
    <t>Doesn't blink anywhere
Not sure why until I moved the GND pin</t>
  </si>
  <si>
    <t>Helps visualise</t>
  </si>
  <si>
    <t>Made a lot more sense
Corresponding light flashing</t>
  </si>
  <si>
    <t>Easy to follow
re-arrange my circuit
Shield made things more simplistic.</t>
  </si>
  <si>
    <t>Corresponds to blink
very useful to know which pin is connected and why</t>
  </si>
  <si>
    <t>Worked as expected</t>
  </si>
  <si>
    <t>Easily understood</t>
  </si>
  <si>
    <t>See the delay</t>
  </si>
  <si>
    <t>Basic understanding</t>
  </si>
  <si>
    <t>Many ways to lay out the breadboard</t>
  </si>
  <si>
    <t>theoretically understand
but can't always implement</t>
  </si>
  <si>
    <t>confused initially</t>
  </si>
  <si>
    <t>Learnt basics. 
Lights on shields made it easy to understand</t>
  </si>
  <si>
    <t>Hard lining up pins</t>
  </si>
  <si>
    <t>This participant did all the tasks despite being intially confused</t>
  </si>
  <si>
    <t>Unique observation</t>
  </si>
  <si>
    <t>Drop off in participant replies as tasks gets harder</t>
  </si>
  <si>
    <t xml:space="preserve">Participants that stayed for all 4 tasks could see the value more clearly the more complex it became. </t>
  </si>
  <si>
    <t>SOLO codes</t>
  </si>
  <si>
    <t>Prestructured - Unistructured</t>
  </si>
  <si>
    <t xml:space="preserve">Not articulating details </t>
  </si>
  <si>
    <t>Multistructured</t>
  </si>
  <si>
    <t>Multistructured - Relational</t>
  </si>
  <si>
    <t>Can identify how a technical concept relates to the human experience</t>
  </si>
  <si>
    <t>Lists</t>
  </si>
  <si>
    <t>Extended Abstract</t>
  </si>
  <si>
    <t>Unique observation
Takes a step back to identify concept of breadboards</t>
  </si>
  <si>
    <t>Working across tools</t>
  </si>
  <si>
    <t>Unistructured</t>
  </si>
  <si>
    <t>This participant did all the tasks despite being intially confused
Impacted by technical difficulties</t>
  </si>
  <si>
    <t>relational</t>
  </si>
  <si>
    <t>Making connections between the visual feedback of the shield and the technical concepts</t>
  </si>
  <si>
    <t xml:space="preserve">Slightly missing the conceptual point. Technical difficulties. </t>
  </si>
  <si>
    <t>Techncial limittaions</t>
  </si>
  <si>
    <t>Multistructured - relational</t>
  </si>
  <si>
    <t>Identified the relationship between pins and visual feedback</t>
  </si>
  <si>
    <t xml:space="preserve">Able to use the tool to identify troubleshooting area of high resistor value </t>
  </si>
  <si>
    <t xml:space="preserve">Once over technical difficulties they understood </t>
  </si>
  <si>
    <t>Unistructured in response but revealing answer because they managed to troubleshoot this in realtime via the shield . They just ahven't realised yet</t>
  </si>
  <si>
    <t>Relational</t>
  </si>
  <si>
    <t xml:space="preserve">I think participants are opeing in new tabs and creating new UUIDs
students were not familiar with navigating own computers.
Participant can identify the broader concept of the tools. </t>
  </si>
  <si>
    <t>Prestructured</t>
  </si>
  <si>
    <t xml:space="preserve">
Not quite related to what they learnt but Can map this participants growth of understanding</t>
  </si>
  <si>
    <t xml:space="preserve">Understanding of broader topics such as variables </t>
  </si>
  <si>
    <t>Can identify many areas of understanding and took the shield into how they further implemented concepts</t>
  </si>
  <si>
    <t>Can join up methods from previous tasks , can identify how the shield informs this and why. Working across tools.</t>
  </si>
  <si>
    <t xml:space="preserve">Not identifying what was learnt but answer relevant to thematic analysis coding. </t>
  </si>
  <si>
    <t>Technical issues</t>
  </si>
  <si>
    <t>Realtional</t>
  </si>
  <si>
    <t xml:space="preserve">Can identify the conceptual relationship between the shield and the component electrical layout. </t>
  </si>
  <si>
    <t xml:space="preserve">Can reflect on how the shield informs the outcome but doesn't yet know why technically. </t>
  </si>
  <si>
    <t xml:space="preserve">Participants that stayed for all 4 tasks could see the value more clearly the more complex it became.
Articulated theoretical understanding of the code and electronics.  </t>
  </si>
  <si>
    <t>Not what they learnt but a helpful thematic analysis coded answer</t>
  </si>
  <si>
    <t xml:space="preserve">Extends their comprehension to technical theory like signal noise. Can make connections between written code and phsyical circuitry. </t>
  </si>
  <si>
    <t>Theoretical insight beyond design task</t>
  </si>
  <si>
    <t>theoretical undertsanding
external application struggles</t>
  </si>
  <si>
    <t>unclear labelling</t>
  </si>
  <si>
    <t xml:space="preserve">unclear labelling
lack of power status </t>
  </si>
  <si>
    <t>green light is the on signifier on Arduino</t>
  </si>
  <si>
    <t>despite them saying it doesn't work it sounds like it was doing its job and not working until GND was plugged in</t>
  </si>
  <si>
    <t>key Words, summary</t>
  </si>
  <si>
    <t xml:space="preserve">Can map this participants growth of understanding from initial difficulty to completing all tasks </t>
  </si>
  <si>
    <t>Exit Questions</t>
  </si>
  <si>
    <t>I had to flip the feedback shield to look for the correct pin numbers as they don't align with the numbers on the arduino board. it was also a little difficult to secure/remove the feedback shield from the arduino board. I was afraid either would break.</t>
  </si>
  <si>
    <t>Sometimes I would forget to turn it on which was very silly and sometimes noise from the Arduino would cause lights to turn on making it a bit confusing.</t>
  </si>
  <si>
    <t>the check what pin I was using I had to keep looking to the side of the unit</t>
  </si>
  <si>
    <t xml:space="preserve">The challenges I faced were more due to my inexperience with arduino and understanding the software and hardware relationship </t>
  </si>
  <si>
    <t xml:space="preserve">Not many at all, it was easier than using the shield the first time because I understood how everything worked. </t>
  </si>
  <si>
    <t>it was a bit confusing at first what the different lights meant.</t>
  </si>
  <si>
    <t>It wasn't easy to attach and detach the shield from the Arduino</t>
  </si>
  <si>
    <t>i think I found it challenging because when i used the shield for the first time i didn't properly understand what an arduino was ... therefore the lights would show up on the shield and it just made me more confused, most of the time it never really did anything.</t>
  </si>
  <si>
    <t>What challenges did you face when using the shield?</t>
  </si>
  <si>
    <t>What did you find worked well when using the shield?</t>
  </si>
  <si>
    <t>What would you improve or change about the shield?</t>
  </si>
  <si>
    <t>the lights indicated which pin to use, which was easy to follow</t>
  </si>
  <si>
    <t>It really helped with understanding how the Arduino functions, the lights are good indicators of connections and what my wiring was doing in specific sections.</t>
  </si>
  <si>
    <t>Really good visual feedback and gives a much better understanding of what is going on and where, I find having visual cues really helps me understand how signal flow works and found it really helpful in this regard.</t>
  </si>
  <si>
    <t>Simplified the key elements of the board 
built-in indicator lights helped with immediate visual feedback</t>
  </si>
  <si>
    <t>I was able to understand what parts of my Arduino were doing what since I was still new to Arduino at the time. It did help me grasp how to wire up things quicker.</t>
  </si>
  <si>
    <t>after it was explained how to use it it was a lot easier to understand and use it.</t>
  </si>
  <si>
    <t xml:space="preserve">I liked the light feedback </t>
  </si>
  <si>
    <t>i think i would be able to answer this question better if i used the shield now that i understand what my arduino is doing, i think at the time i used it i didn't understand what the pins were, why i could do certain things and others not. the lights didn't signal, for me at least, what i needed to fix. I think i would've responded better to the shield after having more time with the arduino on its own.</t>
  </si>
  <si>
    <t>there were many different coloured lights which sometimes i'm unsure if they are supposed to be light up/don't know what the different colours mean. Would be useful to have a guide to tell me what each of the colours on the feedback shield meant.</t>
  </si>
  <si>
    <t>I'm not sure.</t>
  </si>
  <si>
    <t>I would suggest having the pin info printed on top of the board to more easily ascertain that wires have been correctly connected to the right input/output. Also potentially having a white line run from the wire terminals to the corresponding LED.</t>
  </si>
  <si>
    <t xml:space="preserve">I liked how it simplified the board so I won’t add any more components to the design other than the necessary ones 
</t>
  </si>
  <si>
    <t>Nothing!</t>
  </si>
  <si>
    <t>maybe a manual or guide alongside it which explains it better (I can't remember if we had this but maybe a print out if not)</t>
  </si>
  <si>
    <t xml:space="preserve">The asthetics and adding the port numbers so it is easier to see which port I am plugging in to </t>
  </si>
  <si>
    <t xml:space="preserve">i'm not sure, maybe add clearer numbers so i know what pin i'macessing and some writing showing you which way to position the shield  </t>
  </si>
  <si>
    <t>hardware failure</t>
  </si>
  <si>
    <t xml:space="preserve">feedback supports cause and effect understanding
relates to circuit as well as shield </t>
  </si>
  <si>
    <t>despite the lack of power status being a critique, it has provided this participant with a theoretical understanding of signal noise!</t>
  </si>
  <si>
    <t xml:space="preserve">unclear / insufficient labelling
</t>
  </si>
  <si>
    <t>limitations of exeperience in understanding sofwtare and hardware relationship</t>
  </si>
  <si>
    <t>limitations of exeperience in understanding sofwtare and hardware relationship
confusion about functionality</t>
  </si>
  <si>
    <t>participant seems confused by functionality so unclear if 'it never really did anything' is more to do with that than a hardware issue</t>
  </si>
  <si>
    <t>unclear if there is also a hardwrae issue here or simply confusion and doifficulty grapsing the concepts</t>
  </si>
  <si>
    <t>there was a guide and diagram but it was on the teaching web page and participants may have been overwhelmed by information</t>
  </si>
  <si>
    <t>they say port but mean pin</t>
  </si>
  <si>
    <t xml:space="preserve">resolution after initial struggle </t>
  </si>
  <si>
    <t>track this particpant's learning from confusion to understanding throughout the questions</t>
  </si>
  <si>
    <t>requests more guidance</t>
  </si>
  <si>
    <t xml:space="preserve">requests more guidance
initial confusion
</t>
  </si>
  <si>
    <t>feedback supports cause and effect understanding
shield simplifies understanding</t>
  </si>
  <si>
    <t>unclear / insufficient labelling
UX mapping</t>
  </si>
  <si>
    <t>resolution after initial struggle 
proceedural difficulties</t>
  </si>
  <si>
    <t xml:space="preserve">colour coding unclear without guide
requests more guidance </t>
  </si>
  <si>
    <t>shield simplifies understanding</t>
  </si>
  <si>
    <t>proceedural difficulties
evaluative - worked</t>
  </si>
  <si>
    <t>confused as to why it doesn't work
resolved without conceptual understanding</t>
  </si>
  <si>
    <t>I think participants are opeing in new tabs and creating new UUIDs
students were not familiar with navigating own computers.
Participant doesn't try to resolve the led not lighting up issue via the shield or code.
Interesting negativeexample to highlight because they understood the purpose of the shiled but didnt use it to troubleshoot their issue</t>
  </si>
  <si>
    <t>understand principle of shield
did not engage shield for troubleshooting</t>
  </si>
  <si>
    <t>using shield to test before building circuit
data value visibility
shield supports scaffolded learning</t>
  </si>
  <si>
    <t>pin mapping visibility 
feedback supports cause and effect understanding</t>
  </si>
  <si>
    <t>resolution after initial struggle
LED mapping visibility 
observe reltationship between shiled and phsyical circuit</t>
  </si>
  <si>
    <t xml:space="preserve">Basic understanding
external application assistance
LED mapping visibility </t>
  </si>
  <si>
    <t>LED mapping visibility 
pin mapping visibility</t>
  </si>
  <si>
    <t>data value visibility
pin mapping visibility 
LED mapping visibility
missing theoretical understanding</t>
  </si>
  <si>
    <t>pin mapping visibility
easy to understand</t>
  </si>
  <si>
    <t>instruction clarity
Easily understood</t>
  </si>
  <si>
    <t>instruction clarity</t>
  </si>
  <si>
    <t>awareness of complexity</t>
  </si>
  <si>
    <t xml:space="preserve">bit too vague to code this. </t>
  </si>
  <si>
    <t>signal flow understanding
understanding theory of electricity</t>
  </si>
  <si>
    <t>reflective after observation
signal flow understanding
feedback supports cause and effect understanding</t>
  </si>
  <si>
    <t>too vague</t>
  </si>
  <si>
    <t>theoretical insight beyond task design 
design limitation of signal noise
feedback supports cause and effect understanding</t>
  </si>
  <si>
    <t>shield simplifies understanding
feedback supported understanding 
immediacy of feedback</t>
  </si>
  <si>
    <t>unclear / insufficient labelling
Proposed design convention</t>
  </si>
  <si>
    <t>Observations</t>
  </si>
  <si>
    <t>external application struggles</t>
  </si>
  <si>
    <t>initial confusion</t>
  </si>
  <si>
    <t xml:space="preserve">LED mapping visibility </t>
  </si>
  <si>
    <t>external application assistance</t>
  </si>
  <si>
    <t xml:space="preserve">lack of power status </t>
  </si>
  <si>
    <t>theoretical undertsanding</t>
  </si>
  <si>
    <t>Participant stated the delivery of the content was clear</t>
  </si>
  <si>
    <t>Participant found the mapping of the pins to an LED indicator helpful</t>
  </si>
  <si>
    <t>Participant referred to an external application for assistance with a task</t>
  </si>
  <si>
    <t xml:space="preserve">Participant had theoretical insight that went beyond the design of the task itself . </t>
  </si>
  <si>
    <t>Participant indicated theoretical understanding of the tasks</t>
  </si>
  <si>
    <t>Participant had difficulty observing if power was on/off or if battery was dead</t>
  </si>
  <si>
    <t>Participant noted basic understanding</t>
  </si>
  <si>
    <t>Participant had difficulty with an external application</t>
  </si>
  <si>
    <t>Participant had an initial confusion with the task and/or hardware</t>
  </si>
  <si>
    <t>Participant found pin labelling unclear</t>
  </si>
  <si>
    <t xml:space="preserve">proceedural difficulties
</t>
  </si>
  <si>
    <t>evaluative - worked</t>
  </si>
  <si>
    <t xml:space="preserve">pin mapping visibility 
</t>
  </si>
  <si>
    <t>resolution after initial struggle</t>
  </si>
  <si>
    <t xml:space="preserve">confused as to why it doesn't work
</t>
  </si>
  <si>
    <t>resolved without conceptual understanding</t>
  </si>
  <si>
    <t xml:space="preserve">understand principle of shield
</t>
  </si>
  <si>
    <t>did not engage shield for troubleshooting</t>
  </si>
  <si>
    <t>Participant mention eased of understanding</t>
  </si>
  <si>
    <t xml:space="preserve">participant had difficulties with their own device or proceedure as a whole </t>
  </si>
  <si>
    <t>Participant referred to the visibility of pins mapping helping</t>
  </si>
  <si>
    <t xml:space="preserve">feedback supports cause and effect understanding
</t>
  </si>
  <si>
    <t xml:space="preserve">Participant got it working </t>
  </si>
  <si>
    <t>Participant understood relationship between the cause and effect of the task when using the shield</t>
  </si>
  <si>
    <t>Participant had initial struggle but resolved it themself</t>
  </si>
  <si>
    <t>Participant commented on the relationship between the shield and their phsyical circuit</t>
  </si>
  <si>
    <t>Participant completed the task but did not know why</t>
  </si>
  <si>
    <t>participant was confused as to why the shield did not work</t>
  </si>
  <si>
    <t>participant understood the principle of what the shield was doing</t>
  </si>
  <si>
    <t>participant did not use the shield to troubleshoot their problem</t>
  </si>
  <si>
    <t xml:space="preserve">participant mentioned the shield simplifying a task for them </t>
  </si>
  <si>
    <t>Participant recognised the complexity of a task</t>
  </si>
  <si>
    <t>reflective after observation</t>
  </si>
  <si>
    <t>signal flow understanding</t>
  </si>
  <si>
    <t>Participant reflected on the task after observing an outcome</t>
  </si>
  <si>
    <t>Participant referred to the shield helping them understand signal theory</t>
  </si>
  <si>
    <t>theoretical insight</t>
  </si>
  <si>
    <t>Participant observed a theoretical insight into a coding or electronic method</t>
  </si>
  <si>
    <t>combining the shield and external applications speed up learning</t>
  </si>
  <si>
    <t>Hardware Failure</t>
  </si>
  <si>
    <t>Participant's shield failed</t>
  </si>
  <si>
    <t>hardware failure
initial confusion</t>
  </si>
  <si>
    <t>Participant referred to combining another application/tool with the use of the shield to speed up their learning</t>
  </si>
  <si>
    <t>using shield to test before building circuit</t>
  </si>
  <si>
    <t>data value visibility</t>
  </si>
  <si>
    <t>shield supports scaffolded learning</t>
  </si>
  <si>
    <t>Participant trialled a circuit with the shield first before implementing it on a breadboard</t>
  </si>
  <si>
    <t>Participant referred to the shield helping them break down their understanding in to steps</t>
  </si>
  <si>
    <t>missing theoretical understanding</t>
  </si>
  <si>
    <t>particioant completed the task but did not know how</t>
  </si>
  <si>
    <t xml:space="preserve">relates to circuit as well as shield </t>
  </si>
  <si>
    <t>participant refers to both the shield and the circuitry</t>
  </si>
  <si>
    <t>understanding theory of electricity</t>
  </si>
  <si>
    <t>participant mentions understanding electricity concepts</t>
  </si>
  <si>
    <t>design limitation of signal noise</t>
  </si>
  <si>
    <t>Participant referred to the signal noise on analog pins impacting their understanding</t>
  </si>
  <si>
    <t>risk averse with equipment</t>
  </si>
  <si>
    <t>participant was apprehensive about breaking the shield and how to physically handle it</t>
  </si>
  <si>
    <t>confusion about functionality</t>
  </si>
  <si>
    <t>Participant's limited experience in understanding the general software and hardware impacted their understanding of a task</t>
  </si>
  <si>
    <t>participant was confused about the task</t>
  </si>
  <si>
    <t>shield supported theoretical understanding</t>
  </si>
  <si>
    <t>participant referred to the shield supporting their theoretical understanding of a concept</t>
  </si>
  <si>
    <t>immediacy of feedback</t>
  </si>
  <si>
    <t>participant referenced the real-time nature of the visual feedback from the shield</t>
  </si>
  <si>
    <t>Participant asked for more guidance in the form of support material</t>
  </si>
  <si>
    <t>required more grounding in Arduino first</t>
  </si>
  <si>
    <t>Participant noted they needed more understanding of Arduino before understanding the shield</t>
  </si>
  <si>
    <t>colour coding unclear without guide</t>
  </si>
  <si>
    <t xml:space="preserve">Participant noted they could not remember the colour references without a guide </t>
  </si>
  <si>
    <t>Proposed design convention</t>
  </si>
  <si>
    <t>Particioant suggested a design convention to adhere to</t>
  </si>
  <si>
    <t>Q5</t>
  </si>
  <si>
    <t>ExitQ3</t>
  </si>
  <si>
    <t xml:space="preserve"> Q1, ExitQ1,ExitQ3</t>
  </si>
  <si>
    <t>theoretical insight
feedback supports cause and effect understanding
external application assistance 
combining the shield and external applications speed up learning</t>
  </si>
  <si>
    <t xml:space="preserve"> The highest count code </t>
  </si>
  <si>
    <t>data value visibility
shield supported theoretical understanding
signal flow understanding</t>
  </si>
  <si>
    <t xml:space="preserve">UX mapping </t>
  </si>
  <si>
    <t>Participant suggested UX mapping of the LEDs to the pins</t>
  </si>
  <si>
    <t>connection indicator</t>
  </si>
  <si>
    <t>Participant found the shiled helped aid where to connect components</t>
  </si>
  <si>
    <t>ExitQ2</t>
  </si>
  <si>
    <t>observe reltationship between shield and phsyical circuit</t>
  </si>
  <si>
    <t>shield supported theoretical understanding
observe reltationship between shield and phsyical circuit</t>
  </si>
  <si>
    <t>shield supported theoretical understanding
connection indicator
observe reltationship between shield and phsyical circuit</t>
  </si>
  <si>
    <t>Q2</t>
  </si>
  <si>
    <t xml:space="preserve">feedback supported understanding
</t>
  </si>
  <si>
    <t>The feedback supported the participant's understanding</t>
  </si>
  <si>
    <t>Easy to understand</t>
  </si>
  <si>
    <t>Participant found the shiled easy to use</t>
  </si>
  <si>
    <t>lack of power status 
understanding theory of electricity
design limitation of signal noise</t>
  </si>
  <si>
    <t>ExitQ1</t>
  </si>
  <si>
    <t>Q5, ExitQ1</t>
  </si>
  <si>
    <t>Q1</t>
  </si>
  <si>
    <t xml:space="preserve">required more grounding in Arduino first
</t>
  </si>
  <si>
    <t>Q1,Q3</t>
  </si>
  <si>
    <t>Q1,Q4</t>
  </si>
  <si>
    <t>Q1,Q2,Q4,Q5</t>
  </si>
  <si>
    <t>Q1Q4</t>
  </si>
  <si>
    <t>Q2,Q3</t>
  </si>
  <si>
    <t>Q2,Q4,Q5,ExitQ2</t>
  </si>
  <si>
    <t>Q2,Q3,Q4,Q5,Q6</t>
  </si>
  <si>
    <t>Q2, ExitQ2</t>
  </si>
  <si>
    <t>Q2,Q3,Q4</t>
  </si>
  <si>
    <t>Same participant P06. Example case study</t>
  </si>
  <si>
    <t>Q3</t>
  </si>
  <si>
    <t>Q2, ExitQ3</t>
  </si>
  <si>
    <t>Q3,Q5,ExitQ2</t>
  </si>
  <si>
    <t>Q4</t>
  </si>
  <si>
    <t>Q5, ExitQ2</t>
  </si>
  <si>
    <t>Q6, ExitQ1</t>
  </si>
  <si>
    <t>ExitQ2, ExitQ3</t>
  </si>
  <si>
    <t>This counters other feedback</t>
  </si>
  <si>
    <t>Category</t>
  </si>
  <si>
    <t>Hypothesised</t>
  </si>
  <si>
    <t>Descriptive</t>
  </si>
  <si>
    <t>Emergent</t>
  </si>
  <si>
    <t>This was a problem throughout the task</t>
  </si>
  <si>
    <t>Emergent because I did not anticipate the theoretical depth it would aid with</t>
  </si>
  <si>
    <t>Tasks included TinkerCAD as part of design</t>
  </si>
  <si>
    <t>Did not anticipate them doing this as a beginner</t>
  </si>
  <si>
    <t>Impacted results. Map to any confusion codes</t>
  </si>
  <si>
    <t>Emergent Design flaw</t>
  </si>
  <si>
    <t>interesting negative case study
what was the limiting factor?</t>
  </si>
  <si>
    <t>Did the shield facilitate this?</t>
  </si>
  <si>
    <t>resulting depth of theoretical knowledge. Beyond what I anticipated</t>
  </si>
  <si>
    <t>participant observed understanding the visualising of values on the shield</t>
  </si>
  <si>
    <t>Depth this was articulated was not anticipated</t>
  </si>
  <si>
    <t>Directly speaks to a research Q</t>
  </si>
  <si>
    <t>interesting negative case regarding cognitive overload?</t>
  </si>
  <si>
    <t>Design flaw?</t>
  </si>
  <si>
    <t>Theme Group</t>
  </si>
  <si>
    <t>New positive design conventions proposed by participants</t>
  </si>
  <si>
    <t>Ease of Usability</t>
  </si>
  <si>
    <t>Facilitator supported understanding of topics</t>
  </si>
  <si>
    <t>Physical or legiblilty design limitations</t>
  </si>
  <si>
    <t>Shield supported learning alongside another tool</t>
  </si>
  <si>
    <t>Material obstacles to task completion</t>
  </si>
  <si>
    <t>Knowledge gaps impacting task comprehension</t>
  </si>
  <si>
    <t>unresolved learning barrier that impacted the task</t>
  </si>
  <si>
    <t>Shield supports understanding</t>
  </si>
  <si>
    <t>Visual feedback mechanisms supported learning</t>
  </si>
  <si>
    <t>Facilitated self directed learning</t>
  </si>
  <si>
    <t>Enabled Knowledge of the code and circuitry relationship</t>
  </si>
  <si>
    <t>Deepends understanding of theoretical concepts</t>
  </si>
  <si>
    <t>Extended exploration beyond the boundaries of the task</t>
  </si>
  <si>
    <t>Learning through overcoming barriers</t>
  </si>
  <si>
    <t>easy to understand, basic understanding, instruction clarity, easily understood</t>
  </si>
  <si>
    <t>hardware failure, procedural difficulties, requests more guidance, colour coding unclear without guide</t>
  </si>
  <si>
    <t>external application struggles, procedural difficulties, required more grounding in Arduino, limitations of experience in understanding software and hardware relationship</t>
  </si>
  <si>
    <t>resolution after initial struggle, initial confusion, did not engage shiled for troubleshooting (negative case)</t>
  </si>
  <si>
    <t>Pin maping visibility, data value visibility, feedback supported understanding, connection indicator, LED mapping visibility, immedicay of feedback</t>
  </si>
  <si>
    <t>shield supports scaffolded learning, combining the shield and external applications sped up learning, relfective after observation, feedback supports cause and effect understanding</t>
  </si>
  <si>
    <t>shiled simplifies understanding, awareness of complexity, relates to circuits as well as shield, connection indicator, observe relationship between shield and physical circuit</t>
  </si>
  <si>
    <t xml:space="preserve">signal flow understanidng, theoretical insight, shield supported theoretical understandning, theoretical understanding, understanding of theory of electricty </t>
  </si>
  <si>
    <t>theoretical insight beyond the design task, using shield to test before building circuit</t>
  </si>
  <si>
    <t>Observations/Notes</t>
  </si>
  <si>
    <t>This includes a negative case example that is interesting to discuss</t>
  </si>
  <si>
    <t xml:space="preserve">The facilitator supported participants understanding of a task rather than the tool supporting the understanding. </t>
  </si>
  <si>
    <t xml:space="preserve">Important to distinguish and separate where possible to reflect upon how much impact the facilitator had on results. </t>
  </si>
  <si>
    <t xml:space="preserve">Limitations of the tool in terms of phsyical design or legibility of UX in the design. </t>
  </si>
  <si>
    <t>Tangible obstacles that impacted participants completing the task. These are related to the tool and delivery of the task rather than external factors out with the control of the design of the study.</t>
  </si>
  <si>
    <t>Participant's pre-study knowledge gaps that impacted task comprehension. Refers to level of experience with code, navigating their laptop etc</t>
  </si>
  <si>
    <t>Participants hit a barrier to their learning during a task but did not resolve it due to confusion or missing theoretical understanding</t>
  </si>
  <si>
    <t xml:space="preserve">Participants successfully learnt by overcoming barriers. They staed an initial confusion or lack of understanding but over came it via the task and tool. </t>
  </si>
  <si>
    <t xml:space="preserve">Positive: There is a participant that tracks throughout the tasks to demonstrate this journey
negative: participant notes they encountered issues with their circuit not working but stopped the task at this stage rather than using the tool to resolve the issue. </t>
  </si>
  <si>
    <t xml:space="preserve">The shield 's visual forms of providing feedback supported participant's learning. </t>
  </si>
  <si>
    <t xml:space="preserve">The shiled faciitated a form of self directed learning such as reflection, combining a tool with another application, identfying a cause and effect relationship within a task.  </t>
  </si>
  <si>
    <t xml:space="preserve">The shield helped expand knowledge in how code and circuitry joins up. </t>
  </si>
  <si>
    <t xml:space="preserve">A primary hypothesis of the shield so this should be highlighted during discussion. </t>
  </si>
  <si>
    <t>The shield aided a deeper undertsanding of theory of a subject matter and not simply facilitating practical task completion</t>
  </si>
  <si>
    <t xml:space="preserve">Participants used the shield to help them go further than the task design. This was independent and not led by the faciltator. </t>
  </si>
  <si>
    <t xml:space="preserve">Participants suggests a new design convention distinct from suggesting improvements to the existing design of the tool which exists in the 'physical or legibility design limitations' theme. These are future suggestions not linked to a limitation.  </t>
  </si>
  <si>
    <t xml:space="preserve">Participants make reference to the ease of usability specific to the tool and not the teaching material. The codes refer to positives instances of the usability of the design and are kept separate from improvements and limitations. </t>
  </si>
  <si>
    <t xml:space="preserve">The shield augmented the use of another tool within a task. EG: tinkerCAD . This refers to the use of the shield in conjunction with another tool that was reported by the participant rather than referring to how to shield helped participants learn another tool. </t>
  </si>
  <si>
    <t xml:space="preserve">This is a parent theme to the 5 subthemes below. Since comprehension is not singular to one aspect or modality this is split into 5 sub themes to cover specifics mechanisms in which it supported understanding. </t>
  </si>
  <si>
    <t>Highlight why this is a parent theme in the write-up</t>
  </si>
  <si>
    <t>N/A</t>
  </si>
  <si>
    <t>confusion with functionality, confused as to why it doesn't work, resolved without conceptual understanding, missing theoretical understanding, risk averse with equipment, did not engage shiled for troubleshooting (negative case)</t>
  </si>
  <si>
    <t>Should the negative example from the theme below also sit in this theme? It is a direct example here of an unknown barrier impacting task progression where as in the theme below it is the negative case for not being able to use the shield to overcome a struggle</t>
  </si>
  <si>
    <t xml:space="preserve">some writing showing you which way to position the shield  </t>
  </si>
  <si>
    <t xml:space="preserve">7986520b repeatedly mentioned scross several question. </t>
  </si>
  <si>
    <t>The design limitation of signal noise is a good example to highlight both a design limitation and a limitation that facilitates greater theoretical understanding. 
UX and LED mapping has positive counter examples to balance results</t>
  </si>
  <si>
    <t>12 post workshop</t>
  </si>
  <si>
    <t>12 post project</t>
  </si>
  <si>
    <t>9bf580174</t>
  </si>
  <si>
    <t xml:space="preserve">Same participant providing the example of working with TinkerCAD </t>
  </si>
  <si>
    <t xml:space="preserve">participant 8 requests more guidance twice. Participant 2 refers specifically to guidance around colour coding. </t>
  </si>
  <si>
    <t xml:space="preserve">participants mentioned lack of experience with basic Arduino concepts hindered their understanding. Procedural difficulties navigating laptops, resources and teaching material on the whole impacted the study. </t>
  </si>
  <si>
    <t xml:space="preserve">it was a bit confusing at first what the different lights meant.
"i think I found it challenging because when i used the shield for the first time i didn't properly understand what an arduino was ... therefore the lights would show up on the shield and it just made me more confused, most of the time it never really did anything." interesting example that refers to a bariier and its impact on how confused they were. </t>
  </si>
  <si>
    <t xml:space="preserve"> The lights on the shield make it easier to understand what's actually happening with the Aurduino.
 It made a lot more sense now as I could see the corresponding light flashing alongside my LED :))</t>
  </si>
  <si>
    <t>My resistor was too strong, so I had to re-arrange my circuit but otherwise the activity was easily followed, and the shield made the Arduino seem more simplistic.
the feedback shield corresponds to the blink, very useful to know which pin is connected and working</t>
  </si>
  <si>
    <t>As I was turning the dial it was easy to see the resistance in the board itself as the lights of the shield were fading, this was corresponding with the breadboard and the LED I had set up.</t>
  </si>
  <si>
    <t>A complementary example to the design limitation regarding signal noise</t>
  </si>
  <si>
    <t xml:space="preserve">
7986520b1dd78d685fcacfafebf255b85180f30607ca00092d9f1c543815318c</t>
  </si>
  <si>
    <t xml:space="preserve">
81134bafe57f3a70e921c5c5a7ab5885fff3778f212f6b9626e400dcaa26e29b</t>
  </si>
  <si>
    <t xml:space="preserve">
0b6722a8adfb93540bc8b6008e2e82d9940e1f5a2c48af03e0dc04524ffecd0e</t>
  </si>
  <si>
    <t xml:space="preserve">
059f727ac7ff5dcdc2fb071c39101e66a9eb1c08f79fa26fd1ad01f335909130</t>
  </si>
  <si>
    <t xml:space="preserve">
9fbbe982e10d5be5810770259fa95ce2db0cdaf8ec937ae64eab931f06ab4177</t>
  </si>
  <si>
    <t xml:space="preserve">
864b9e0c5788a922865ed5e096ab58217255bf9acd79605e2e9ff4d828136dd9</t>
  </si>
  <si>
    <t xml:space="preserve">
9bf580174667f50b031047c34d189d5604521ef97f1b5c278537c3c97baf35b7</t>
  </si>
  <si>
    <t xml:space="preserve">
5c607f66c4a21215bdddbedde8eb8e3f939f9dcfc6e210c6dda2514d52d36103</t>
  </si>
  <si>
    <t xml:space="preserve">
9bf580174667f50b031047c34d189d5604521ef97f1b5c278537c3c97baf35b7</t>
  </si>
  <si>
    <t>7986520b, 0b6722a8, 9bf58017</t>
  </si>
  <si>
    <t>9bf58017, 12(post workshop), 5c607f66, 2, 9, 11, 4</t>
  </si>
  <si>
    <t xml:space="preserve">9fbbe98, 864b9e0c, 8, 2, 7986520b </t>
  </si>
  <si>
    <t>9fbbe982, 7986520b, 864b9e0c, 4, 3</t>
  </si>
  <si>
    <t>8, 4, 6bdf0b2d, 7986520b, 2, fb338e53</t>
  </si>
  <si>
    <t>864b9e0c, 12 post project, 8, fb338e53</t>
  </si>
  <si>
    <t>81134baf, 7986520b, 864b9e0c, 2, 9, 3, 12 post workshop, 9bf58017</t>
  </si>
  <si>
    <t>864b9e0c, 9bf58017, 0b4b6795, 81134baf, 059f727a</t>
  </si>
  <si>
    <t>059f727a, 3, 9bf58017, 12 post workshop, 864b9e0c, 12 post project</t>
  </si>
  <si>
    <t>0b4b6795, faf31d6c, 9bf58017, 12 post workshop, 9, 12 post project, 9fbbe982</t>
  </si>
  <si>
    <t>59f727a, 9bf58017, 864b9e0c</t>
  </si>
  <si>
    <t xml:space="preserve"> understand principle of the shield</t>
  </si>
  <si>
    <t>fb338e</t>
  </si>
  <si>
    <t>Particpant did not find shield physically easy to connect</t>
  </si>
  <si>
    <t>i learnt that the piece of hardware is supposed to identify where the problems are in the task</t>
  </si>
  <si>
    <t>design limitation of signal noise, lack of power status, unclear labelling, UX mapping,physical handling difficulty</t>
  </si>
  <si>
    <t>physical handling difficulty</t>
  </si>
  <si>
    <t>unclear / insufficient labelling
physical handling difficulty
risk averse with equipment</t>
  </si>
  <si>
    <t>Participant IDs</t>
  </si>
  <si>
    <t>Initial codes added</t>
  </si>
  <si>
    <t>Coding generation</t>
  </si>
  <si>
    <t>initial read through, key words and summary column populated</t>
  </si>
  <si>
    <t>Naming conventions a little imitative of the qualitative answers</t>
  </si>
  <si>
    <t>Tried to align codes with more overarching naming conventions</t>
  </si>
  <si>
    <t>Code Splitting</t>
  </si>
  <si>
    <t>Splitting visual data into subtypes that are more specific. Visual Data ended up encapsulating a high number of codes and needed defining more specifically.
This was split into connection indication, data value visibility , cause and effect understanding , pin and LED mapping (positive connotations) . this gives me more analytical insight into specifics</t>
  </si>
  <si>
    <t>Feedback supported understanding as a code became a code that was capturing duplicate themes now the above specific splits happened. Changed definition of this code to only refer to when no further details were provided about the feedback mechanism</t>
  </si>
  <si>
    <t>Defined differences between code proceedural fix and conceptual insight such as signal noise observations. Both are troubleshooting codes but quite different in te sense that one is an external procedural method and another is directly related to the shield operatio</t>
  </si>
  <si>
    <t>Code edits</t>
  </si>
  <si>
    <t>Code deletions</t>
  </si>
  <si>
    <t xml:space="preserve">Removed a code that assigned greater learning when the participant was just repeating the task back. </t>
  </si>
  <si>
    <t>Added general code to vague answers that could not be categorised further</t>
  </si>
  <si>
    <t>Code generalisation</t>
  </si>
  <si>
    <t>Split shield comprehension into two separate codes around shield usage and reflection</t>
  </si>
  <si>
    <t>Code grouping/clustering</t>
  </si>
  <si>
    <t>Theme development</t>
  </si>
  <si>
    <t>Negative Cases</t>
  </si>
  <si>
    <t>Analytical Stage</t>
  </si>
  <si>
    <t>Initial grouping of codes into similar clusters [done in FigmaJam outside of this spreadsheet]</t>
  </si>
  <si>
    <t xml:space="preserve">First pass at thematic naming of these clusters. </t>
  </si>
  <si>
    <t xml:space="preserve">Decided against an initial more general category naming such as emotional, clarity, relevance etc . The codes are already quite specific allowing for greater descritpive themes that address specific learning and teaching qualities. </t>
  </si>
  <si>
    <t xml:space="preserve">Identified themes that fit the pedgogical framework of the tools. Recognised the need for 5 sub themes within shield supports understanding to allow for a deeper analysis of exactly how. </t>
  </si>
  <si>
    <t>Duplicate codes</t>
  </si>
  <si>
    <t>Identified where there are codes that can exist in more than one theme. Justified this placement in the theme tracker tab.</t>
  </si>
  <si>
    <t xml:space="preserve">identified 2-3 negative case studies that exist with themes. EG: troubleshooting or not troubleshooting with the shield. </t>
  </si>
  <si>
    <t>cross Study themes</t>
  </si>
  <si>
    <t>Identified where the same codes and themes exists across studies. Distinguished between the same code and themes having the same context (study 2 and 3a) vs themes having different answers and context but the same theme (study 3b)</t>
  </si>
  <si>
    <t>hybrid deductive-inductive methods</t>
  </si>
  <si>
    <t xml:space="preserve">extracted emerging codes and themes from the data . Mapped these in the theme tracker tab against descriptive codes and hypothesised codes. Colour codes these when creating themes in FigmaJam on a visual node view. </t>
  </si>
  <si>
    <t xml:space="preserve">Created a cross study table (in tab patterns) that maps coexisting themes and codes across studies. </t>
  </si>
  <si>
    <t xml:space="preserve">Observed there is a 4 theme pattern that goes present in Study 2, absent in study 3a, present in 3b . Interesting not hypothesised or predicted pattern to discuss. Potentially related to changing modalities or introducing new barriers to learning after resolving others. </t>
  </si>
  <si>
    <t>Patterns acorss studies</t>
  </si>
  <si>
    <t>Physical or legibility design limitations</t>
  </si>
  <si>
    <t>3b is an interface design limitation rather than physical but still a design limitation</t>
  </si>
  <si>
    <t>Did it influence usability of tools?</t>
  </si>
  <si>
    <t>Speaks to my cognitive overload hypothesis and carries through despite re-design of the study</t>
  </si>
  <si>
    <t>Unresolved learning barrier that impacted the task</t>
  </si>
  <si>
    <t>interesting pattern .</t>
  </si>
  <si>
    <t>same pattern indicating day 1 of study 3 design was at a manageable level for participants</t>
  </si>
  <si>
    <t>learning through overcoming barriers</t>
  </si>
  <si>
    <t>Extended exploration beyond the boundaries of a task</t>
  </si>
  <si>
    <t>facilitated self directed learning</t>
  </si>
  <si>
    <t>enabled knowledge of the code and circuitry relationship</t>
  </si>
  <si>
    <t>visual feedback mechanisms supported learning</t>
  </si>
  <si>
    <t>Ease of usability</t>
  </si>
  <si>
    <t>ease of usability related to different tool in study 3b but as a theme carries across all studies</t>
  </si>
  <si>
    <t>Feature visibility impacted task execution</t>
  </si>
  <si>
    <t>Theme</t>
  </si>
  <si>
    <t>Study 2 (shield in curriculum)</t>
  </si>
  <si>
    <t>Study 3a (shield in  workshop)</t>
  </si>
  <si>
    <t>Study 3b (sculpting code)</t>
  </si>
  <si>
    <t>deepens  understanding of theoretical concepts</t>
  </si>
  <si>
    <t xml:space="preserve">Definition </t>
  </si>
  <si>
    <t>confirmed</t>
  </si>
  <si>
    <t>Split into five sub themes: visual feedback, self directed learning, code-circuitry relationship, theoretical depth, extended exploration</t>
  </si>
  <si>
    <t>Visual Feedback augmented onto the physical object Arduino supports comprehension of both code and circuitry and the relationship between the two</t>
  </si>
  <si>
    <t>Enbaled knowledge of the code and circuitry theme
[note this extends this study 2 and into study 3a]</t>
  </si>
  <si>
    <t>Tangible / physical feedback aids error identification and troubleshooting</t>
  </si>
  <si>
    <t xml:space="preserve">particially confirmed </t>
  </si>
  <si>
    <t xml:space="preserve">visual feedback closes the reflective gap between action and effect. </t>
  </si>
  <si>
    <t>one of the primary hypothesis for the shields physical design and footprint</t>
  </si>
  <si>
    <t xml:space="preserve">how error detection can be facilitated by different modalities of learning. Eg: not only existing in screenbased tools </t>
  </si>
  <si>
    <t>produced some evidence in facilitated self directed learning and troubleshooting codes but also demonstrated negative cases such as not being able to get past learning barriers and not using the tool to try to do so. In addition to this the data started to show two channels of troubleshooting 1) proceddural fixes and 2) conceptual insight that resolved the issue</t>
  </si>
  <si>
    <t>Visual Feedback of basic Arduino functionality supports understanding of basic physical computing tasks</t>
  </si>
  <si>
    <t>Feedback Shield would support the theory behind certain programming and electricity concepts</t>
  </si>
  <si>
    <t>Some participants this was confirmed and even emerged as deeper than anticipated. However, it was also not true for a number of participants that did not overcome their learning barriers by using the shiled</t>
  </si>
  <si>
    <t>Feedback Shield supports existing teaching tools</t>
  </si>
  <si>
    <t>The design of the shiled supports other existing teaching tools</t>
  </si>
  <si>
    <t xml:space="preserve">Designed to work alongside Arduino IDE and TinkerCAD in the task designs. This was evidenced in the thematic answers, </t>
  </si>
  <si>
    <t>New positive design convention proposed by participants</t>
  </si>
  <si>
    <t>Material obstacles to task completion,
Knowledge gaps impacting task comprehension</t>
  </si>
  <si>
    <t>learning through overcoming barriers (negative case)</t>
  </si>
  <si>
    <t>deepens understanding of theoretical concepts</t>
  </si>
  <si>
    <t>enabled knowledge of the code and circuitry relationship, 
visual feedback mechanisms supported learning</t>
  </si>
  <si>
    <t>deepens understanding of theoretical concepts,
facilitated self directed learning</t>
  </si>
  <si>
    <t>C28:C32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</si>
</sst>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amily val="2"/>
    </font>
    <font>
      <b/>
      <sz val="10"/>
      <color rgb="FF2F5233"/>
      <name val="Calibri"/>
      <family val="2"/>
    </font>
    <font>
      <sz val="11"/>
      <color theme="1"/>
      <name val="Calibri"/>
      <family val="2"/>
      <scheme val="minor"/>
    </font>
    <font>
      <sz val="11"/>
      <color theme="1"/>
      <name val="Calibri"/>
      <family val="2"/>
    </font>
    <font>
      <sz val="11"/>
      <color rgb="FF000000"/>
      <name val="Calibri"/>
      <family val="2"/>
      <scheme val="minor"/>
    </font>
    <font>
      <b/>
      <sz val="10"/>
      <color rgb="FF2F5233"/>
      <name val="Calibri"/>
      <family val="2"/>
      <scheme val="minor"/>
    </font>
    <font>
      <sz val="11"/>
      <color theme="0"/>
      <name val="Calibri"/>
      <family val="2"/>
      <scheme val="minor"/>
    </font>
    <font>
      <sz val="11"/>
      <name val="Calibri"/>
      <family val="2"/>
      <scheme val="minor"/>
    </font>
  </fonts>
  <fills count="12">
    <fill>
      <patternFill patternType="none"/>
    </fill>
    <fill>
      <patternFill patternType="gray125"/>
    </fill>
    <fill>
      <patternFill patternType="solid">
        <fgColor rgb="FF2F5233"/>
        <bgColor rgb="FF2F5233"/>
      </patternFill>
    </fill>
    <fill>
      <patternFill patternType="solid">
        <fgColor rgb="FFC6E0B4"/>
        <bgColor rgb="FFC6E0B4"/>
      </patternFill>
    </fill>
    <fill>
      <patternFill patternType="solid">
        <fgColor theme="0" tint="-0.34998626667073579"/>
        <bgColor indexed="64"/>
      </patternFill>
    </fill>
    <fill>
      <patternFill patternType="solid">
        <fgColor theme="6" tint="0.79998168889431442"/>
        <bgColor indexed="64"/>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theme="5" tint="0.79998168889431442"/>
        <bgColor indexed="64"/>
      </patternFill>
    </fill>
    <fill>
      <patternFill patternType="solid">
        <fgColor rgb="FF92D050"/>
        <bgColor indexed="64"/>
      </patternFill>
    </fill>
    <fill>
      <patternFill patternType="solid">
        <fgColor theme="3"/>
        <bgColor indexed="64"/>
      </patternFill>
    </fill>
    <fill>
      <patternFill patternType="solid">
        <fgColor rgb="FFFF0000"/>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style="thin">
        <color theme="4" tint="0.39997558519241921"/>
      </bottom>
      <diagonal/>
    </border>
    <border>
      <left/>
      <right style="thin">
        <color indexed="64"/>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3" fillId="0" borderId="0"/>
  </cellStyleXfs>
  <cellXfs count="5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wrapText="1"/>
    </xf>
    <xf numFmtId="0" fontId="0" fillId="0" borderId="1" xfId="0" applyBorder="1" applyAlignment="1">
      <alignment vertical="center" wrapText="1"/>
    </xf>
    <xf numFmtId="0" fontId="0" fillId="0" borderId="1" xfId="0" applyBorder="1" applyAlignment="1">
      <alignment horizontal="left" vertical="top"/>
    </xf>
    <xf numFmtId="0" fontId="0" fillId="0" borderId="1" xfId="0" applyBorder="1"/>
    <xf numFmtId="0" fontId="0" fillId="0" borderId="1" xfId="0" applyBorder="1" applyAlignment="1">
      <alignment wrapText="1"/>
    </xf>
    <xf numFmtId="0" fontId="0" fillId="0" borderId="1" xfId="0" applyBorder="1" applyAlignment="1">
      <alignment horizontal="left" vertical="center" wrapText="1"/>
    </xf>
    <xf numFmtId="0" fontId="0" fillId="0" borderId="0" xfId="0" applyAlignment="1">
      <alignment horizontal="left" wrapText="1"/>
    </xf>
    <xf numFmtId="0" fontId="0" fillId="0" borderId="0" xfId="0" applyAlignment="1">
      <alignment wrapText="1"/>
    </xf>
    <xf numFmtId="0" fontId="0" fillId="0" borderId="1" xfId="0" applyBorder="1" applyAlignment="1">
      <alignment horizontal="left" wrapText="1"/>
    </xf>
    <xf numFmtId="0" fontId="0" fillId="4" borderId="0" xfId="0" applyFill="1"/>
    <xf numFmtId="0" fontId="5" fillId="0" borderId="1" xfId="0" applyFont="1" applyBorder="1" applyAlignment="1">
      <alignment horizontal="left" vertical="top" wrapText="1"/>
    </xf>
    <xf numFmtId="0" fontId="0" fillId="6" borderId="2" xfId="0" applyFill="1" applyBorder="1" applyAlignment="1">
      <alignment wrapText="1"/>
    </xf>
    <xf numFmtId="0" fontId="0" fillId="0" borderId="2" xfId="0" applyBorder="1" applyAlignment="1">
      <alignment wrapText="1"/>
    </xf>
    <xf numFmtId="0" fontId="6" fillId="3" borderId="1" xfId="0" applyFont="1" applyFill="1" applyBorder="1" applyAlignment="1">
      <alignment horizontal="center" vertical="center" wrapText="1"/>
    </xf>
    <xf numFmtId="0" fontId="5" fillId="3" borderId="3" xfId="0" applyFont="1" applyFill="1" applyBorder="1" applyAlignment="1">
      <alignment wrapText="1"/>
    </xf>
    <xf numFmtId="0" fontId="5" fillId="3" borderId="3" xfId="0" applyFont="1" applyFill="1" applyBorder="1"/>
    <xf numFmtId="0" fontId="1" fillId="2" borderId="4"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7" borderId="1" xfId="0" applyFill="1" applyBorder="1" applyAlignment="1">
      <alignment horizontal="left" vertical="top" wrapText="1"/>
    </xf>
    <xf numFmtId="0" fontId="3" fillId="7" borderId="1" xfId="1" applyFill="1" applyBorder="1" applyAlignment="1">
      <alignment wrapText="1"/>
    </xf>
    <xf numFmtId="0" fontId="0" fillId="5" borderId="1" xfId="0" applyFill="1" applyBorder="1" applyAlignment="1">
      <alignment horizontal="center" vertical="center" wrapText="1"/>
    </xf>
    <xf numFmtId="0" fontId="0" fillId="5" borderId="1" xfId="0" applyFill="1" applyBorder="1" applyAlignment="1">
      <alignment horizontal="left" vertical="top" wrapText="1"/>
    </xf>
    <xf numFmtId="0" fontId="0" fillId="5" borderId="1" xfId="0" applyFill="1" applyBorder="1"/>
    <xf numFmtId="0" fontId="0" fillId="5" borderId="1" xfId="0" applyFill="1" applyBorder="1" applyAlignment="1">
      <alignment wrapText="1"/>
    </xf>
    <xf numFmtId="0" fontId="0" fillId="7" borderId="1" xfId="0" applyFill="1" applyBorder="1"/>
    <xf numFmtId="0" fontId="0" fillId="7" borderId="1" xfId="0" applyFill="1" applyBorder="1" applyAlignment="1">
      <alignment wrapText="1"/>
    </xf>
    <xf numFmtId="0" fontId="0" fillId="0" borderId="1" xfId="0" applyBorder="1" applyAlignment="1">
      <alignment horizontal="center"/>
    </xf>
    <xf numFmtId="0" fontId="0" fillId="8" borderId="1" xfId="0" applyFill="1" applyBorder="1" applyAlignment="1">
      <alignment wrapText="1"/>
    </xf>
    <xf numFmtId="0" fontId="0" fillId="8" borderId="1" xfId="0" applyFill="1" applyBorder="1" applyAlignment="1">
      <alignment horizontal="left" vertical="top" wrapText="1"/>
    </xf>
    <xf numFmtId="0" fontId="0" fillId="8" borderId="1" xfId="0" applyFill="1" applyBorder="1" applyAlignment="1">
      <alignment horizontal="center" vertical="center" wrapText="1"/>
    </xf>
    <xf numFmtId="0" fontId="0" fillId="8" borderId="1" xfId="0" applyFill="1" applyBorder="1"/>
    <xf numFmtId="0" fontId="0" fillId="0" borderId="4" xfId="0" applyBorder="1" applyAlignment="1">
      <alignment horizontal="left" vertical="top"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left" vertical="center" wrapText="1"/>
    </xf>
    <xf numFmtId="0" fontId="0" fillId="0" borderId="5" xfId="0" applyBorder="1" applyAlignment="1">
      <alignment horizontal="center" vertical="center" wrapText="1"/>
    </xf>
    <xf numFmtId="0" fontId="0" fillId="0" borderId="5" xfId="0" applyBorder="1" applyAlignment="1">
      <alignment horizontal="left" vertical="top" wrapText="1"/>
    </xf>
    <xf numFmtId="0" fontId="7" fillId="10" borderId="1" xfId="0" applyFont="1" applyFill="1" applyBorder="1"/>
    <xf numFmtId="0" fontId="0" fillId="9" borderId="1" xfId="0" applyFill="1" applyBorder="1"/>
    <xf numFmtId="0" fontId="0" fillId="11" borderId="1" xfId="0" applyFill="1" applyBorder="1"/>
    <xf numFmtId="0" fontId="0" fillId="8" borderId="0" xfId="0" applyFill="1" applyAlignment="1">
      <alignment horizontal="left" wrapText="1"/>
    </xf>
    <xf numFmtId="0" fontId="0" fillId="7" borderId="1" xfId="0" applyFill="1" applyBorder="1" applyAlignment="1">
      <alignment horizontal="left" vertical="center" wrapText="1"/>
    </xf>
    <xf numFmtId="0" fontId="0" fillId="7" borderId="0" xfId="0" applyFill="1" applyAlignment="1">
      <alignment horizontal="left" wrapText="1"/>
    </xf>
    <xf numFmtId="0" fontId="0" fillId="5" borderId="0" xfId="0" applyFill="1" applyAlignment="1">
      <alignment horizontal="center"/>
    </xf>
  </cellXfs>
  <cellStyles count="2">
    <cellStyle name="Normal" xfId="0" builtinId="0"/>
    <cellStyle name="Normal 3" xfId="1" xr:uid="{BB3D48EA-7A7B-1946-8204-451454A8C1F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E7210-2F90-564F-B40F-7CAE60E5ADA1}">
  <dimension ref="A1:G83"/>
  <sheetViews>
    <sheetView tabSelected="1" workbookViewId="0">
      <pane ySplit="1" topLeftCell="A22" activePane="bottomLeft" state="frozen"/>
      <selection pane="bottomLeft" activeCell="B52" sqref="B52"/>
    </sheetView>
  </sheetViews>
  <sheetFormatPr baseColWidth="10" defaultColWidth="8.83203125" defaultRowHeight="15" x14ac:dyDescent="0.2"/>
  <cols>
    <col min="1" max="1" width="39.33203125" customWidth="1"/>
    <col min="2" max="2" width="94.6640625" customWidth="1"/>
    <col min="3" max="3" width="42.83203125" customWidth="1"/>
    <col min="4" max="4" width="41.33203125" customWidth="1"/>
    <col min="5" max="5" width="50" customWidth="1"/>
    <col min="6" max="6" width="20" customWidth="1"/>
  </cols>
  <sheetData>
    <row r="1" spans="1:4" ht="16" x14ac:dyDescent="0.2">
      <c r="A1" s="1" t="s">
        <v>0</v>
      </c>
      <c r="B1" s="1" t="s">
        <v>1</v>
      </c>
      <c r="C1" s="1"/>
      <c r="D1" s="1" t="s">
        <v>3</v>
      </c>
    </row>
    <row r="2" spans="1:4" ht="64" x14ac:dyDescent="0.2">
      <c r="A2" s="2" t="s">
        <v>4</v>
      </c>
      <c r="B2" s="6" t="s">
        <v>29</v>
      </c>
      <c r="C2" s="6" t="s">
        <v>116</v>
      </c>
      <c r="D2" s="3"/>
    </row>
    <row r="3" spans="1:4" ht="48" x14ac:dyDescent="0.2">
      <c r="A3" s="7" t="s">
        <v>30</v>
      </c>
      <c r="B3" s="9" t="s">
        <v>31</v>
      </c>
      <c r="C3" s="9" t="s">
        <v>117</v>
      </c>
      <c r="D3" s="5" t="s">
        <v>118</v>
      </c>
    </row>
    <row r="4" spans="1:4" ht="48" x14ac:dyDescent="0.2">
      <c r="A4" s="7" t="s">
        <v>32</v>
      </c>
      <c r="B4" s="9" t="s">
        <v>33</v>
      </c>
      <c r="C4" s="9" t="s">
        <v>120</v>
      </c>
      <c r="D4" s="5" t="s">
        <v>121</v>
      </c>
    </row>
    <row r="5" spans="1:4" ht="48" x14ac:dyDescent="0.2">
      <c r="A5" s="10" t="s">
        <v>34</v>
      </c>
      <c r="B5" s="9" t="s">
        <v>35</v>
      </c>
      <c r="C5" s="9" t="s">
        <v>119</v>
      </c>
      <c r="D5" s="5" t="s">
        <v>122</v>
      </c>
    </row>
    <row r="6" spans="1:4" ht="48" x14ac:dyDescent="0.2">
      <c r="A6" s="5" t="s">
        <v>37</v>
      </c>
      <c r="B6" s="12" t="s">
        <v>36</v>
      </c>
      <c r="C6" s="14" t="s">
        <v>123</v>
      </c>
      <c r="D6" s="5" t="s">
        <v>124</v>
      </c>
    </row>
    <row r="7" spans="1:4" ht="48" x14ac:dyDescent="0.2">
      <c r="A7" s="14" t="s">
        <v>38</v>
      </c>
      <c r="B7" s="13" t="s">
        <v>39</v>
      </c>
      <c r="C7" s="10" t="s">
        <v>119</v>
      </c>
      <c r="D7" s="5" t="s">
        <v>125</v>
      </c>
    </row>
    <row r="8" spans="1:4" ht="48" x14ac:dyDescent="0.2">
      <c r="A8" s="11" t="s">
        <v>48</v>
      </c>
      <c r="B8" t="s">
        <v>49</v>
      </c>
      <c r="C8" s="9" t="s">
        <v>126</v>
      </c>
      <c r="D8" s="5" t="s">
        <v>127</v>
      </c>
    </row>
    <row r="9" spans="1:4" ht="48" x14ac:dyDescent="0.2">
      <c r="A9" s="11" t="s">
        <v>52</v>
      </c>
      <c r="B9" s="13" t="s">
        <v>51</v>
      </c>
      <c r="C9" s="10" t="s">
        <v>128</v>
      </c>
      <c r="D9" s="5" t="s">
        <v>129</v>
      </c>
    </row>
    <row r="10" spans="1:4" ht="48" x14ac:dyDescent="0.2">
      <c r="A10" s="11" t="s">
        <v>54</v>
      </c>
      <c r="B10" s="13" t="s">
        <v>53</v>
      </c>
      <c r="C10" s="10" t="s">
        <v>117</v>
      </c>
      <c r="D10" s="5" t="s">
        <v>130</v>
      </c>
    </row>
    <row r="11" spans="1:4" x14ac:dyDescent="0.2">
      <c r="A11" s="4"/>
      <c r="B11" s="5"/>
      <c r="C11" s="5"/>
      <c r="D11" s="5"/>
    </row>
    <row r="12" spans="1:4" x14ac:dyDescent="0.2">
      <c r="A12" s="4"/>
      <c r="B12" s="5"/>
      <c r="C12" s="5"/>
      <c r="D12" s="5"/>
    </row>
    <row r="14" spans="1:4" ht="64" x14ac:dyDescent="0.2">
      <c r="A14" s="2" t="s">
        <v>14</v>
      </c>
      <c r="B14" s="6" t="s">
        <v>40</v>
      </c>
      <c r="C14" s="6"/>
      <c r="D14" s="3"/>
    </row>
    <row r="15" spans="1:4" ht="48" x14ac:dyDescent="0.2">
      <c r="A15" s="10" t="s">
        <v>30</v>
      </c>
      <c r="B15" s="10" t="s">
        <v>55</v>
      </c>
      <c r="C15" s="10" t="s">
        <v>126</v>
      </c>
      <c r="D15" s="5" t="s">
        <v>131</v>
      </c>
    </row>
    <row r="16" spans="1:4" ht="48" x14ac:dyDescent="0.2">
      <c r="A16" s="7" t="s">
        <v>32</v>
      </c>
      <c r="B16" s="9" t="s">
        <v>50</v>
      </c>
      <c r="C16" s="9" t="s">
        <v>132</v>
      </c>
      <c r="D16" s="5" t="s">
        <v>133</v>
      </c>
    </row>
    <row r="17" spans="1:4" ht="48" x14ac:dyDescent="0.2">
      <c r="A17" s="10" t="s">
        <v>37</v>
      </c>
      <c r="B17" s="10" t="s">
        <v>47</v>
      </c>
      <c r="C17" s="10" t="s">
        <v>123</v>
      </c>
      <c r="D17" s="5" t="s">
        <v>134</v>
      </c>
    </row>
    <row r="18" spans="1:4" ht="48" x14ac:dyDescent="0.2">
      <c r="A18" s="10" t="s">
        <v>48</v>
      </c>
      <c r="B18" s="10" t="s">
        <v>58</v>
      </c>
      <c r="C18" s="10" t="s">
        <v>126</v>
      </c>
      <c r="D18" s="5" t="s">
        <v>135</v>
      </c>
    </row>
    <row r="19" spans="1:4" x14ac:dyDescent="0.2">
      <c r="D19" s="5"/>
    </row>
    <row r="20" spans="1:4" ht="32" x14ac:dyDescent="0.2">
      <c r="A20" s="11" t="s">
        <v>60</v>
      </c>
      <c r="B20" s="10" t="s">
        <v>59</v>
      </c>
      <c r="C20" s="10" t="s">
        <v>126</v>
      </c>
      <c r="D20" s="5"/>
    </row>
    <row r="21" spans="1:4" ht="48" x14ac:dyDescent="0.2">
      <c r="A21" s="11" t="s">
        <v>63</v>
      </c>
      <c r="B21" s="10" t="s">
        <v>62</v>
      </c>
      <c r="C21" s="10" t="s">
        <v>126</v>
      </c>
      <c r="D21" s="5" t="s">
        <v>136</v>
      </c>
    </row>
    <row r="22" spans="1:4" ht="96" x14ac:dyDescent="0.2">
      <c r="A22" s="11" t="s">
        <v>57</v>
      </c>
      <c r="B22" s="10" t="s">
        <v>56</v>
      </c>
      <c r="C22" s="10" t="s">
        <v>137</v>
      </c>
      <c r="D22" s="5" t="s">
        <v>138</v>
      </c>
    </row>
    <row r="23" spans="1:4" x14ac:dyDescent="0.2">
      <c r="A23" s="10"/>
      <c r="B23" s="10"/>
      <c r="C23" s="10"/>
      <c r="D23" s="5"/>
    </row>
    <row r="24" spans="1:4" x14ac:dyDescent="0.2">
      <c r="A24" s="4"/>
      <c r="B24" s="8"/>
      <c r="C24" s="8"/>
      <c r="D24" s="5"/>
    </row>
    <row r="26" spans="1:4" ht="64" x14ac:dyDescent="0.2">
      <c r="A26" s="2" t="s">
        <v>15</v>
      </c>
      <c r="B26" s="6" t="s">
        <v>41</v>
      </c>
      <c r="C26" s="6"/>
      <c r="D26" s="3"/>
    </row>
    <row r="27" spans="1:4" ht="48" x14ac:dyDescent="0.2">
      <c r="A27" s="11" t="s">
        <v>30</v>
      </c>
      <c r="B27" s="10" t="s">
        <v>61</v>
      </c>
      <c r="C27" s="10" t="s">
        <v>126</v>
      </c>
      <c r="D27" s="5"/>
    </row>
    <row r="28" spans="1:4" ht="48" x14ac:dyDescent="0.2">
      <c r="A28" s="11" t="s">
        <v>48</v>
      </c>
      <c r="B28" s="10" t="s">
        <v>64</v>
      </c>
      <c r="C28" s="10" t="s">
        <v>139</v>
      </c>
      <c r="D28" s="5" t="s">
        <v>140</v>
      </c>
    </row>
    <row r="29" spans="1:4" ht="48" x14ac:dyDescent="0.2">
      <c r="A29" s="11" t="s">
        <v>37</v>
      </c>
      <c r="B29" s="10" t="s">
        <v>65</v>
      </c>
      <c r="C29" s="10" t="s">
        <v>137</v>
      </c>
      <c r="D29" s="5" t="s">
        <v>141</v>
      </c>
    </row>
    <row r="30" spans="1:4" ht="48" x14ac:dyDescent="0.2">
      <c r="A30" s="11" t="s">
        <v>67</v>
      </c>
      <c r="B30" s="14" t="s">
        <v>66</v>
      </c>
      <c r="C30" s="14" t="s">
        <v>123</v>
      </c>
      <c r="D30" s="5" t="s">
        <v>142</v>
      </c>
    </row>
    <row r="31" spans="1:4" ht="16" x14ac:dyDescent="0.2">
      <c r="A31" s="4"/>
      <c r="B31" s="5"/>
      <c r="C31" s="5"/>
      <c r="D31" s="5" t="s">
        <v>114</v>
      </c>
    </row>
    <row r="32" spans="1:4" x14ac:dyDescent="0.2">
      <c r="A32" s="4"/>
      <c r="B32" s="5"/>
      <c r="C32" s="5"/>
      <c r="D32" s="5"/>
    </row>
    <row r="33" spans="1:4" x14ac:dyDescent="0.2">
      <c r="A33" s="4"/>
      <c r="B33" s="5"/>
      <c r="C33" s="5"/>
      <c r="D33" s="5"/>
    </row>
    <row r="34" spans="1:4" x14ac:dyDescent="0.2">
      <c r="A34" s="4"/>
      <c r="B34" s="5"/>
      <c r="C34" s="5"/>
      <c r="D34" s="5"/>
    </row>
    <row r="35" spans="1:4" x14ac:dyDescent="0.2">
      <c r="A35" s="4"/>
      <c r="B35" s="5"/>
      <c r="C35" s="5"/>
      <c r="D35" s="5"/>
    </row>
    <row r="36" spans="1:4" x14ac:dyDescent="0.2">
      <c r="A36" s="4"/>
      <c r="B36" s="5"/>
      <c r="C36" s="5"/>
      <c r="D36" s="5"/>
    </row>
    <row r="37" spans="1:4" x14ac:dyDescent="0.2">
      <c r="B37" s="13"/>
      <c r="C37" s="13"/>
    </row>
    <row r="38" spans="1:4" ht="64" x14ac:dyDescent="0.2">
      <c r="A38" s="2" t="s">
        <v>16</v>
      </c>
      <c r="B38" s="6" t="s">
        <v>42</v>
      </c>
      <c r="C38" s="6"/>
      <c r="D38" s="3"/>
    </row>
    <row r="39" spans="1:4" ht="64" x14ac:dyDescent="0.2">
      <c r="A39" s="11" t="s">
        <v>82</v>
      </c>
      <c r="B39" s="10" t="s">
        <v>68</v>
      </c>
      <c r="C39" s="10" t="s">
        <v>123</v>
      </c>
      <c r="D39" s="5" t="s">
        <v>143</v>
      </c>
    </row>
    <row r="40" spans="1:4" ht="48" x14ac:dyDescent="0.2">
      <c r="A40" s="11" t="s">
        <v>48</v>
      </c>
      <c r="B40" s="10" t="s">
        <v>69</v>
      </c>
      <c r="C40" s="10" t="s">
        <v>139</v>
      </c>
      <c r="D40" s="5" t="s">
        <v>144</v>
      </c>
    </row>
    <row r="41" spans="1:4" ht="48" x14ac:dyDescent="0.2">
      <c r="A41" s="11" t="s">
        <v>30</v>
      </c>
      <c r="B41" s="10" t="s">
        <v>70</v>
      </c>
      <c r="C41" s="10" t="s">
        <v>126</v>
      </c>
      <c r="D41" s="5"/>
    </row>
    <row r="42" spans="1:4" ht="48" x14ac:dyDescent="0.2">
      <c r="A42" s="11" t="s">
        <v>38</v>
      </c>
      <c r="B42" s="10" t="s">
        <v>71</v>
      </c>
      <c r="C42" s="10" t="s">
        <v>139</v>
      </c>
      <c r="D42" s="5" t="s">
        <v>145</v>
      </c>
    </row>
    <row r="43" spans="1:4" x14ac:dyDescent="0.2">
      <c r="A43" s="4"/>
      <c r="B43" s="5"/>
      <c r="C43" s="5"/>
      <c r="D43" s="5"/>
    </row>
    <row r="44" spans="1:4" x14ac:dyDescent="0.2">
      <c r="A44" s="4"/>
      <c r="B44" s="5"/>
      <c r="C44" s="5"/>
      <c r="D44" s="5"/>
    </row>
    <row r="45" spans="1:4" x14ac:dyDescent="0.2">
      <c r="A45" s="4"/>
      <c r="B45" s="5"/>
      <c r="C45" s="5"/>
      <c r="D45" s="5"/>
    </row>
    <row r="46" spans="1:4" x14ac:dyDescent="0.2">
      <c r="A46" s="4"/>
      <c r="B46" s="5"/>
      <c r="C46" s="5"/>
      <c r="D46" s="5"/>
    </row>
    <row r="47" spans="1:4" x14ac:dyDescent="0.2">
      <c r="A47" s="4"/>
      <c r="B47" s="5"/>
      <c r="C47" s="5"/>
      <c r="D47" s="5"/>
    </row>
    <row r="48" spans="1:4" x14ac:dyDescent="0.2">
      <c r="A48" s="4"/>
      <c r="B48" s="5"/>
      <c r="C48" s="5"/>
      <c r="D48" s="5"/>
    </row>
    <row r="49" spans="1:4" ht="64" x14ac:dyDescent="0.2">
      <c r="A49" s="2" t="s">
        <v>43</v>
      </c>
      <c r="B49" s="6" t="s">
        <v>45</v>
      </c>
      <c r="C49" s="6"/>
      <c r="D49" s="3"/>
    </row>
    <row r="50" spans="1:4" ht="48" x14ac:dyDescent="0.2">
      <c r="A50" s="11" t="s">
        <v>48</v>
      </c>
      <c r="B50" s="10" t="s">
        <v>72</v>
      </c>
      <c r="C50" s="10" t="s">
        <v>146</v>
      </c>
      <c r="D50" s="5" t="s">
        <v>147</v>
      </c>
    </row>
    <row r="51" spans="1:4" ht="48" x14ac:dyDescent="0.2">
      <c r="A51" s="11" t="s">
        <v>30</v>
      </c>
      <c r="B51" s="10" t="s">
        <v>73</v>
      </c>
      <c r="C51" s="10" t="s">
        <v>146</v>
      </c>
      <c r="D51" s="5" t="s">
        <v>148</v>
      </c>
    </row>
    <row r="52" spans="1:4" ht="64" x14ac:dyDescent="0.2">
      <c r="A52" s="11" t="s">
        <v>83</v>
      </c>
      <c r="B52" s="10" t="s">
        <v>74</v>
      </c>
      <c r="C52" s="10" t="s">
        <v>123</v>
      </c>
      <c r="D52" s="5" t="s">
        <v>149</v>
      </c>
    </row>
    <row r="53" spans="1:4" ht="32" x14ac:dyDescent="0.2">
      <c r="A53" s="11" t="s">
        <v>77</v>
      </c>
      <c r="B53" s="10" t="s">
        <v>76</v>
      </c>
      <c r="C53" s="10" t="s">
        <v>139</v>
      </c>
      <c r="D53" s="5" t="s">
        <v>150</v>
      </c>
    </row>
    <row r="54" spans="1:4" x14ac:dyDescent="0.2">
      <c r="A54" s="4"/>
      <c r="B54" s="5"/>
      <c r="C54" s="5"/>
      <c r="D54" s="5"/>
    </row>
    <row r="55" spans="1:4" x14ac:dyDescent="0.2">
      <c r="A55" s="4"/>
      <c r="B55" s="5"/>
      <c r="C55" s="5"/>
      <c r="D55" s="5"/>
    </row>
    <row r="56" spans="1:4" x14ac:dyDescent="0.2">
      <c r="A56" s="4"/>
      <c r="B56" s="5"/>
      <c r="C56" s="5"/>
      <c r="D56" s="5"/>
    </row>
    <row r="57" spans="1:4" x14ac:dyDescent="0.2">
      <c r="A57" s="4"/>
      <c r="B57" s="5"/>
      <c r="C57" s="5"/>
      <c r="D57" s="5"/>
    </row>
    <row r="58" spans="1:4" x14ac:dyDescent="0.2">
      <c r="A58" s="4"/>
      <c r="B58" s="5"/>
      <c r="C58" s="5"/>
      <c r="D58" s="5"/>
    </row>
    <row r="59" spans="1:4" ht="64" x14ac:dyDescent="0.2">
      <c r="A59" s="2" t="s">
        <v>44</v>
      </c>
      <c r="B59" s="6" t="s">
        <v>46</v>
      </c>
      <c r="C59" s="6"/>
      <c r="D59" s="3"/>
    </row>
    <row r="60" spans="1:4" ht="64" x14ac:dyDescent="0.2">
      <c r="A60" s="11" t="s">
        <v>83</v>
      </c>
      <c r="B60" s="10" t="s">
        <v>75</v>
      </c>
      <c r="C60" s="10" t="s">
        <v>123</v>
      </c>
      <c r="D60" s="5" t="s">
        <v>151</v>
      </c>
    </row>
    <row r="61" spans="1:4" ht="16" x14ac:dyDescent="0.2">
      <c r="A61" s="4" t="s">
        <v>5</v>
      </c>
      <c r="B61" s="5"/>
      <c r="C61" s="5"/>
      <c r="D61" s="5"/>
    </row>
    <row r="62" spans="1:4" ht="16" x14ac:dyDescent="0.2">
      <c r="A62" s="4" t="s">
        <v>6</v>
      </c>
      <c r="B62" s="5"/>
      <c r="C62" s="5"/>
      <c r="D62" s="5"/>
    </row>
    <row r="63" spans="1:4" ht="16" x14ac:dyDescent="0.2">
      <c r="A63" s="4" t="s">
        <v>7</v>
      </c>
      <c r="B63" s="5"/>
      <c r="C63" s="5"/>
      <c r="D63" s="5"/>
    </row>
    <row r="64" spans="1:4" ht="16" x14ac:dyDescent="0.2">
      <c r="A64" s="4" t="s">
        <v>8</v>
      </c>
      <c r="B64" s="5"/>
      <c r="C64" s="5"/>
      <c r="D64" s="5"/>
    </row>
    <row r="65" spans="1:7" ht="16" x14ac:dyDescent="0.2">
      <c r="A65" s="4" t="s">
        <v>9</v>
      </c>
      <c r="B65" s="5"/>
      <c r="C65" s="5"/>
      <c r="D65" s="5"/>
    </row>
    <row r="66" spans="1:7" ht="16" x14ac:dyDescent="0.2">
      <c r="A66" s="4" t="s">
        <v>10</v>
      </c>
      <c r="B66" s="5"/>
      <c r="C66" s="5"/>
      <c r="D66" s="5"/>
    </row>
    <row r="67" spans="1:7" ht="16" x14ac:dyDescent="0.2">
      <c r="A67" s="4" t="s">
        <v>11</v>
      </c>
      <c r="B67" s="5"/>
      <c r="C67" s="5"/>
      <c r="D67" s="5"/>
    </row>
    <row r="68" spans="1:7" ht="16" x14ac:dyDescent="0.2">
      <c r="A68" s="4" t="s">
        <v>12</v>
      </c>
      <c r="B68" s="5"/>
      <c r="C68" s="5"/>
      <c r="D68" s="5"/>
    </row>
    <row r="69" spans="1:7" ht="16" x14ac:dyDescent="0.2">
      <c r="A69" s="4" t="s">
        <v>13</v>
      </c>
      <c r="B69" s="5"/>
      <c r="C69" s="5"/>
      <c r="D69" s="5"/>
    </row>
    <row r="73" spans="1:7" x14ac:dyDescent="0.2">
      <c r="A73" s="13"/>
    </row>
    <row r="74" spans="1:7" x14ac:dyDescent="0.2">
      <c r="A74" s="13"/>
      <c r="B74" s="13"/>
      <c r="C74" s="13"/>
      <c r="D74" s="13"/>
    </row>
    <row r="75" spans="1:7" x14ac:dyDescent="0.2">
      <c r="A75" s="13"/>
      <c r="B75" s="13"/>
      <c r="C75" s="13"/>
      <c r="D75" s="13"/>
    </row>
    <row r="76" spans="1:7" x14ac:dyDescent="0.2">
      <c r="A76" s="13"/>
      <c r="B76" s="13"/>
      <c r="C76" s="13"/>
      <c r="D76" s="13"/>
    </row>
    <row r="79" spans="1:7" x14ac:dyDescent="0.2">
      <c r="F79">
        <v>8</v>
      </c>
      <c r="G79" t="s">
        <v>80</v>
      </c>
    </row>
    <row r="80" spans="1:7" x14ac:dyDescent="0.2">
      <c r="F80">
        <v>8</v>
      </c>
      <c r="G80" t="s">
        <v>78</v>
      </c>
    </row>
    <row r="81" spans="6:7" x14ac:dyDescent="0.2">
      <c r="F81">
        <v>9</v>
      </c>
      <c r="G81" t="s">
        <v>79</v>
      </c>
    </row>
    <row r="82" spans="6:7" x14ac:dyDescent="0.2">
      <c r="F82">
        <v>8</v>
      </c>
      <c r="G82" t="s">
        <v>81</v>
      </c>
    </row>
    <row r="83" spans="6:7" x14ac:dyDescent="0.2">
      <c r="F83">
        <v>8</v>
      </c>
      <c r="G83" t="s">
        <v>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3"/>
  <sheetViews>
    <sheetView workbookViewId="0">
      <pane ySplit="1" topLeftCell="A29" activePane="bottomLeft" state="frozen"/>
      <selection pane="bottomLeft" activeCell="B39" sqref="B39"/>
    </sheetView>
  </sheetViews>
  <sheetFormatPr baseColWidth="10" defaultColWidth="8.83203125" defaultRowHeight="15" x14ac:dyDescent="0.2"/>
  <cols>
    <col min="1" max="1" width="39.33203125" customWidth="1"/>
    <col min="2" max="2" width="94.6640625" customWidth="1"/>
    <col min="3" max="3" width="42.5" customWidth="1"/>
    <col min="4" max="4" width="50" customWidth="1"/>
    <col min="5" max="5" width="43" customWidth="1"/>
  </cols>
  <sheetData>
    <row r="1" spans="1:5" ht="16" x14ac:dyDescent="0.2">
      <c r="A1" s="1" t="s">
        <v>0</v>
      </c>
      <c r="B1" s="1" t="s">
        <v>1</v>
      </c>
      <c r="C1" s="1" t="s">
        <v>2</v>
      </c>
      <c r="D1" s="1" t="s">
        <v>158</v>
      </c>
      <c r="E1" s="1" t="s">
        <v>3</v>
      </c>
    </row>
    <row r="2" spans="1:5" ht="64" x14ac:dyDescent="0.2">
      <c r="A2" s="2" t="s">
        <v>4</v>
      </c>
      <c r="B2" s="6" t="s">
        <v>29</v>
      </c>
      <c r="C2" s="6"/>
      <c r="D2" s="3"/>
      <c r="E2" s="3"/>
    </row>
    <row r="3" spans="1:5" ht="48" x14ac:dyDescent="0.2">
      <c r="A3" s="7" t="s">
        <v>430</v>
      </c>
      <c r="B3" s="9" t="s">
        <v>31</v>
      </c>
      <c r="C3" s="13" t="s">
        <v>218</v>
      </c>
      <c r="D3" s="5" t="s">
        <v>104</v>
      </c>
      <c r="E3" s="5"/>
    </row>
    <row r="4" spans="1:5" ht="48" x14ac:dyDescent="0.2">
      <c r="A4" s="7" t="s">
        <v>431</v>
      </c>
      <c r="B4" s="9" t="s">
        <v>33</v>
      </c>
      <c r="C4" s="9"/>
      <c r="D4" s="5" t="s">
        <v>105</v>
      </c>
      <c r="E4" s="5"/>
    </row>
    <row r="5" spans="1:5" ht="48" x14ac:dyDescent="0.2">
      <c r="A5" s="10" t="s">
        <v>432</v>
      </c>
      <c r="B5" s="9" t="s">
        <v>35</v>
      </c>
      <c r="C5" s="9" t="s">
        <v>106</v>
      </c>
      <c r="D5" s="5" t="s">
        <v>106</v>
      </c>
      <c r="E5" s="5"/>
    </row>
    <row r="6" spans="1:5" ht="48" x14ac:dyDescent="0.2">
      <c r="A6" s="5" t="s">
        <v>433</v>
      </c>
      <c r="B6" s="14" t="s">
        <v>36</v>
      </c>
      <c r="C6" s="12" t="s">
        <v>152</v>
      </c>
      <c r="D6" s="5" t="s">
        <v>107</v>
      </c>
      <c r="E6" s="5" t="s">
        <v>113</v>
      </c>
    </row>
    <row r="7" spans="1:5" ht="48" x14ac:dyDescent="0.2">
      <c r="A7" s="14" t="s">
        <v>434</v>
      </c>
      <c r="B7" s="10" t="s">
        <v>39</v>
      </c>
      <c r="C7" s="10" t="s">
        <v>153</v>
      </c>
      <c r="D7" s="5" t="s">
        <v>108</v>
      </c>
      <c r="E7" s="5"/>
    </row>
    <row r="8" spans="1:5" ht="48" x14ac:dyDescent="0.2">
      <c r="A8" s="11" t="s">
        <v>435</v>
      </c>
      <c r="B8" s="9" t="s">
        <v>49</v>
      </c>
      <c r="C8" s="10" t="s">
        <v>276</v>
      </c>
      <c r="D8" s="5" t="s">
        <v>109</v>
      </c>
      <c r="E8" s="5" t="s">
        <v>112</v>
      </c>
    </row>
    <row r="9" spans="1:5" ht="48" x14ac:dyDescent="0.2">
      <c r="A9" s="11" t="s">
        <v>436</v>
      </c>
      <c r="B9" s="10" t="s">
        <v>51</v>
      </c>
      <c r="C9" s="10" t="s">
        <v>214</v>
      </c>
      <c r="D9" s="5" t="s">
        <v>110</v>
      </c>
      <c r="E9" s="5"/>
    </row>
    <row r="10" spans="1:5" ht="48" x14ac:dyDescent="0.2">
      <c r="A10" s="11" t="s">
        <v>437</v>
      </c>
      <c r="B10" s="10" t="s">
        <v>53</v>
      </c>
      <c r="C10" s="10" t="s">
        <v>155</v>
      </c>
      <c r="D10" s="5" t="s">
        <v>111</v>
      </c>
      <c r="E10" s="5" t="s">
        <v>156</v>
      </c>
    </row>
    <row r="11" spans="1:5" x14ac:dyDescent="0.2">
      <c r="A11" s="4"/>
      <c r="B11" s="5"/>
      <c r="C11" s="5"/>
      <c r="D11" s="5"/>
      <c r="E11" s="5"/>
    </row>
    <row r="12" spans="1:5" x14ac:dyDescent="0.2">
      <c r="A12" s="4"/>
      <c r="B12" s="5"/>
      <c r="C12" s="5"/>
      <c r="D12" s="5"/>
      <c r="E12" s="5"/>
    </row>
    <row r="13" spans="1:5" x14ac:dyDescent="0.2">
      <c r="C13" cm="1">
        <f t="array" aca="1" ref="C13" ca="1">+C13:C22</f>
        <v>0</v>
      </c>
    </row>
    <row r="14" spans="1:5" ht="64" x14ac:dyDescent="0.2">
      <c r="A14" s="2" t="s">
        <v>14</v>
      </c>
      <c r="B14" s="6" t="s">
        <v>40</v>
      </c>
      <c r="C14" s="6"/>
      <c r="D14" s="3"/>
      <c r="E14" s="3"/>
    </row>
    <row r="15" spans="1:5" ht="48" x14ac:dyDescent="0.2">
      <c r="A15" s="10" t="s">
        <v>430</v>
      </c>
      <c r="B15" s="10" t="s">
        <v>55</v>
      </c>
      <c r="C15" s="10" t="s">
        <v>207</v>
      </c>
      <c r="D15" s="5" t="s">
        <v>103</v>
      </c>
      <c r="E15" s="5"/>
    </row>
    <row r="16" spans="1:5" ht="48" x14ac:dyDescent="0.2">
      <c r="A16" s="7" t="s">
        <v>431</v>
      </c>
      <c r="B16" s="9" t="s">
        <v>50</v>
      </c>
      <c r="C16" s="10" t="s">
        <v>212</v>
      </c>
      <c r="D16" s="5" t="s">
        <v>102</v>
      </c>
      <c r="E16" s="5"/>
    </row>
    <row r="17" spans="1:5" ht="48" x14ac:dyDescent="0.2">
      <c r="A17" s="10" t="s">
        <v>433</v>
      </c>
      <c r="B17" s="10" t="s">
        <v>47</v>
      </c>
      <c r="C17" s="16" t="s">
        <v>202</v>
      </c>
      <c r="D17" s="5" t="s">
        <v>101</v>
      </c>
      <c r="E17" s="5"/>
    </row>
    <row r="18" spans="1:5" ht="64" x14ac:dyDescent="0.2">
      <c r="A18" s="10" t="s">
        <v>435</v>
      </c>
      <c r="B18" s="10" t="s">
        <v>58</v>
      </c>
      <c r="C18" s="10" t="s">
        <v>213</v>
      </c>
      <c r="D18" s="5" t="s">
        <v>100</v>
      </c>
      <c r="E18" s="5"/>
    </row>
    <row r="19" spans="1:5" x14ac:dyDescent="0.2">
      <c r="D19" s="5"/>
      <c r="E19" s="5"/>
    </row>
    <row r="20" spans="1:5" ht="32" x14ac:dyDescent="0.2">
      <c r="A20" s="11" t="s">
        <v>60</v>
      </c>
      <c r="B20" s="10" t="s">
        <v>59</v>
      </c>
      <c r="C20" s="10"/>
      <c r="D20" s="5" t="s">
        <v>99</v>
      </c>
      <c r="E20" s="5" t="s">
        <v>221</v>
      </c>
    </row>
    <row r="21" spans="1:5" ht="48" x14ac:dyDescent="0.2">
      <c r="A21" s="11" t="s">
        <v>63</v>
      </c>
      <c r="B21" s="10" t="s">
        <v>62</v>
      </c>
      <c r="C21" s="10" t="s">
        <v>208</v>
      </c>
      <c r="D21" s="5" t="s">
        <v>98</v>
      </c>
      <c r="E21" s="5" t="s">
        <v>157</v>
      </c>
    </row>
    <row r="22" spans="1:5" ht="176" x14ac:dyDescent="0.2">
      <c r="A22" s="11" t="s">
        <v>57</v>
      </c>
      <c r="B22" s="10" t="s">
        <v>56</v>
      </c>
      <c r="C22" s="10" t="s">
        <v>210</v>
      </c>
      <c r="D22" s="5" t="s">
        <v>97</v>
      </c>
      <c r="E22" s="5" t="s">
        <v>209</v>
      </c>
    </row>
    <row r="23" spans="1:5" x14ac:dyDescent="0.2">
      <c r="A23" s="10"/>
      <c r="B23" s="10"/>
      <c r="C23" s="10"/>
      <c r="D23" s="5"/>
      <c r="E23" s="5"/>
    </row>
    <row r="24" spans="1:5" x14ac:dyDescent="0.2">
      <c r="A24" s="4"/>
      <c r="B24" s="8"/>
      <c r="C24" s="8"/>
      <c r="D24" s="5"/>
      <c r="E24" s="5"/>
    </row>
    <row r="26" spans="1:5" ht="64" x14ac:dyDescent="0.2">
      <c r="A26" s="2" t="s">
        <v>15</v>
      </c>
      <c r="B26" s="6" t="s">
        <v>41</v>
      </c>
      <c r="C26" s="6"/>
      <c r="D26" s="3"/>
      <c r="E26" s="3"/>
    </row>
    <row r="27" spans="1:5" ht="48" x14ac:dyDescent="0.2">
      <c r="A27" s="11" t="s">
        <v>430</v>
      </c>
      <c r="B27" s="10" t="s">
        <v>61</v>
      </c>
      <c r="C27" s="10" t="s">
        <v>219</v>
      </c>
      <c r="D27" s="5" t="s">
        <v>96</v>
      </c>
      <c r="E27" s="5"/>
    </row>
    <row r="28" spans="1:5" ht="48" x14ac:dyDescent="0.2">
      <c r="A28" s="11" t="s">
        <v>435</v>
      </c>
      <c r="B28" s="10" t="s">
        <v>64</v>
      </c>
      <c r="C28" s="10" t="s">
        <v>204</v>
      </c>
      <c r="D28" s="5" t="s">
        <v>95</v>
      </c>
      <c r="E28" s="5" t="s">
        <v>159</v>
      </c>
    </row>
    <row r="29" spans="1:5" ht="48" x14ac:dyDescent="0.2">
      <c r="A29" s="11" t="s">
        <v>433</v>
      </c>
      <c r="B29" s="10" t="s">
        <v>65</v>
      </c>
      <c r="C29" t="s">
        <v>220</v>
      </c>
      <c r="D29" s="5" t="s">
        <v>94</v>
      </c>
      <c r="E29" s="5"/>
    </row>
    <row r="30" spans="1:5" ht="48" x14ac:dyDescent="0.2">
      <c r="A30" s="11" t="s">
        <v>67</v>
      </c>
      <c r="B30" s="14" t="s">
        <v>66</v>
      </c>
      <c r="C30" s="14" t="s">
        <v>223</v>
      </c>
      <c r="D30" s="5" t="s">
        <v>93</v>
      </c>
      <c r="E30" s="5"/>
    </row>
    <row r="31" spans="1:5" ht="16" x14ac:dyDescent="0.2">
      <c r="A31" s="4"/>
      <c r="B31" s="5"/>
      <c r="C31" s="5"/>
      <c r="D31" s="5"/>
      <c r="E31" s="5" t="s">
        <v>114</v>
      </c>
    </row>
    <row r="32" spans="1:5" ht="16" x14ac:dyDescent="0.2">
      <c r="A32" s="4"/>
      <c r="B32" s="5"/>
      <c r="C32" s="5" t="s">
        <v>534</v>
      </c>
      <c r="D32" s="5"/>
      <c r="E32" s="5"/>
    </row>
    <row r="33" spans="1:5" x14ac:dyDescent="0.2">
      <c r="A33" s="4"/>
      <c r="B33" s="5"/>
      <c r="C33" s="5"/>
      <c r="D33" s="5"/>
      <c r="E33" s="5"/>
    </row>
    <row r="34" spans="1:5" x14ac:dyDescent="0.2">
      <c r="A34" s="4"/>
      <c r="B34" s="5"/>
      <c r="C34" s="5"/>
      <c r="D34" s="5"/>
      <c r="E34" s="5"/>
    </row>
    <row r="35" spans="1:5" x14ac:dyDescent="0.2">
      <c r="A35" s="4"/>
      <c r="B35" s="5"/>
      <c r="C35" s="5"/>
      <c r="D35" s="5"/>
      <c r="E35" s="5"/>
    </row>
    <row r="36" spans="1:5" x14ac:dyDescent="0.2">
      <c r="A36" s="4"/>
      <c r="B36" s="5"/>
      <c r="C36" s="5"/>
      <c r="D36" s="5"/>
      <c r="E36" s="5"/>
    </row>
    <row r="37" spans="1:5" x14ac:dyDescent="0.2">
      <c r="B37" s="13"/>
      <c r="C37" s="13"/>
    </row>
    <row r="38" spans="1:5" ht="64" x14ac:dyDescent="0.2">
      <c r="A38" s="2" t="s">
        <v>16</v>
      </c>
      <c r="B38" s="6" t="s">
        <v>42</v>
      </c>
      <c r="C38" s="6"/>
      <c r="D38" s="3"/>
      <c r="E38" s="3"/>
    </row>
    <row r="39" spans="1:5" ht="80" x14ac:dyDescent="0.2">
      <c r="A39" s="11" t="s">
        <v>438</v>
      </c>
      <c r="B39" s="10" t="s">
        <v>68</v>
      </c>
      <c r="C39" s="10" t="s">
        <v>310</v>
      </c>
      <c r="D39" s="5" t="s">
        <v>92</v>
      </c>
      <c r="E39" s="5"/>
    </row>
    <row r="40" spans="1:5" ht="48" x14ac:dyDescent="0.2">
      <c r="A40" s="11" t="s">
        <v>435</v>
      </c>
      <c r="B40" s="10" t="s">
        <v>69</v>
      </c>
      <c r="C40" s="10" t="s">
        <v>198</v>
      </c>
      <c r="D40" s="5" t="s">
        <v>91</v>
      </c>
      <c r="E40" s="5"/>
    </row>
    <row r="41" spans="1:5" ht="48" x14ac:dyDescent="0.2">
      <c r="A41" s="11" t="s">
        <v>430</v>
      </c>
      <c r="B41" s="10" t="s">
        <v>70</v>
      </c>
      <c r="C41" s="10" t="s">
        <v>215</v>
      </c>
      <c r="D41" s="5" t="s">
        <v>90</v>
      </c>
      <c r="E41" s="5"/>
    </row>
    <row r="42" spans="1:5" ht="48" x14ac:dyDescent="0.2">
      <c r="A42" s="11" t="s">
        <v>434</v>
      </c>
      <c r="B42" s="10" t="s">
        <v>71</v>
      </c>
      <c r="C42" s="10" t="s">
        <v>188</v>
      </c>
      <c r="D42" s="5" t="s">
        <v>89</v>
      </c>
      <c r="E42" s="5"/>
    </row>
    <row r="43" spans="1:5" x14ac:dyDescent="0.2">
      <c r="A43" s="4"/>
      <c r="B43" s="5"/>
      <c r="C43" s="5"/>
      <c r="D43" s="5"/>
      <c r="E43" s="5"/>
    </row>
    <row r="44" spans="1:5" x14ac:dyDescent="0.2">
      <c r="A44" s="4"/>
      <c r="B44" s="5"/>
      <c r="C44" s="5"/>
      <c r="D44" s="5"/>
      <c r="E44" s="5"/>
    </row>
    <row r="45" spans="1:5" x14ac:dyDescent="0.2">
      <c r="A45" s="4"/>
      <c r="B45" s="5"/>
      <c r="C45" s="5"/>
      <c r="D45" s="5"/>
      <c r="E45" s="5"/>
    </row>
    <row r="46" spans="1:5" x14ac:dyDescent="0.2">
      <c r="A46" s="4"/>
      <c r="B46" s="5"/>
      <c r="C46" s="5"/>
      <c r="D46" s="5"/>
      <c r="E46" s="5"/>
    </row>
    <row r="47" spans="1:5" x14ac:dyDescent="0.2">
      <c r="A47" s="4"/>
      <c r="B47" s="5"/>
      <c r="C47" s="5"/>
      <c r="D47" s="5"/>
      <c r="E47" s="5"/>
    </row>
    <row r="48" spans="1:5" x14ac:dyDescent="0.2">
      <c r="A48" s="4"/>
      <c r="B48" s="5"/>
      <c r="C48" s="5"/>
      <c r="D48" s="5"/>
      <c r="E48" s="5"/>
    </row>
    <row r="49" spans="1:5" ht="64" x14ac:dyDescent="0.2">
      <c r="A49" s="2" t="s">
        <v>43</v>
      </c>
      <c r="B49" s="6" t="s">
        <v>45</v>
      </c>
      <c r="C49" s="6"/>
      <c r="D49" s="3"/>
      <c r="E49" s="3"/>
    </row>
    <row r="50" spans="1:5" ht="48" x14ac:dyDescent="0.2">
      <c r="A50" s="11" t="s">
        <v>435</v>
      </c>
      <c r="B50" s="10" t="s">
        <v>72</v>
      </c>
      <c r="C50" s="10" t="s">
        <v>211</v>
      </c>
      <c r="D50" s="5" t="s">
        <v>88</v>
      </c>
      <c r="E50" s="5" t="s">
        <v>199</v>
      </c>
    </row>
    <row r="51" spans="1:5" ht="64" x14ac:dyDescent="0.2">
      <c r="A51" s="11" t="s">
        <v>430</v>
      </c>
      <c r="B51" s="10" t="s">
        <v>73</v>
      </c>
      <c r="C51" s="10" t="s">
        <v>216</v>
      </c>
      <c r="D51" s="5" t="s">
        <v>87</v>
      </c>
      <c r="E51" s="5"/>
    </row>
    <row r="52" spans="1:5" ht="64" x14ac:dyDescent="0.2">
      <c r="A52" s="11" t="s">
        <v>436</v>
      </c>
      <c r="B52" s="10" t="s">
        <v>74</v>
      </c>
      <c r="C52" s="10" t="s">
        <v>189</v>
      </c>
      <c r="D52" s="5" t="s">
        <v>86</v>
      </c>
      <c r="E52" s="5" t="s">
        <v>115</v>
      </c>
    </row>
    <row r="53" spans="1:5" ht="32" x14ac:dyDescent="0.2">
      <c r="A53" s="11" t="s">
        <v>77</v>
      </c>
      <c r="B53" s="10" t="s">
        <v>76</v>
      </c>
      <c r="C53" s="10" t="s">
        <v>222</v>
      </c>
      <c r="D53" s="5" t="s">
        <v>85</v>
      </c>
      <c r="E53" s="5"/>
    </row>
    <row r="54" spans="1:5" x14ac:dyDescent="0.2">
      <c r="A54" s="4"/>
      <c r="B54" s="5"/>
      <c r="C54" s="5"/>
      <c r="D54" s="5"/>
      <c r="E54" s="5"/>
    </row>
    <row r="55" spans="1:5" x14ac:dyDescent="0.2">
      <c r="A55" s="4"/>
      <c r="B55" s="5"/>
      <c r="C55" s="5"/>
      <c r="D55" s="5"/>
      <c r="E55" s="5"/>
    </row>
    <row r="56" spans="1:5" x14ac:dyDescent="0.2">
      <c r="A56" s="4"/>
      <c r="B56" s="5"/>
      <c r="C56" s="5"/>
      <c r="D56" s="5"/>
      <c r="E56" s="5"/>
    </row>
    <row r="57" spans="1:5" x14ac:dyDescent="0.2">
      <c r="A57" s="4"/>
      <c r="B57" s="5"/>
      <c r="C57" s="5"/>
      <c r="D57" s="5"/>
      <c r="E57" s="5"/>
    </row>
    <row r="58" spans="1:5" x14ac:dyDescent="0.2">
      <c r="A58" s="4"/>
      <c r="B58" s="5"/>
      <c r="C58" s="5"/>
      <c r="D58" s="5"/>
      <c r="E58" s="5"/>
    </row>
    <row r="59" spans="1:5" ht="64" x14ac:dyDescent="0.2">
      <c r="A59" s="2" t="s">
        <v>44</v>
      </c>
      <c r="B59" s="6" t="s">
        <v>46</v>
      </c>
      <c r="C59" s="6"/>
      <c r="D59" s="3"/>
      <c r="E59" s="3"/>
    </row>
    <row r="60" spans="1:5" ht="64" x14ac:dyDescent="0.2">
      <c r="A60" s="11" t="s">
        <v>436</v>
      </c>
      <c r="B60" s="10" t="s">
        <v>75</v>
      </c>
      <c r="C60" s="10" t="s">
        <v>225</v>
      </c>
      <c r="D60" s="5" t="s">
        <v>84</v>
      </c>
      <c r="E60" s="5"/>
    </row>
    <row r="61" spans="1:5" x14ac:dyDescent="0.2">
      <c r="A61" s="4"/>
      <c r="B61" s="5"/>
      <c r="C61" s="5"/>
      <c r="D61" s="5"/>
      <c r="E61" s="5"/>
    </row>
    <row r="62" spans="1:5" x14ac:dyDescent="0.2">
      <c r="A62" s="4"/>
      <c r="B62" s="5"/>
      <c r="C62" s="5"/>
      <c r="D62" s="5"/>
      <c r="E62" s="5"/>
    </row>
    <row r="63" spans="1:5" x14ac:dyDescent="0.2">
      <c r="A63" s="4"/>
      <c r="B63" s="5"/>
      <c r="C63" s="5"/>
      <c r="D63" s="5"/>
      <c r="E63" s="5"/>
    </row>
    <row r="64" spans="1:5" x14ac:dyDescent="0.2">
      <c r="A64" s="4"/>
      <c r="B64" s="5"/>
      <c r="C64" s="5"/>
      <c r="D64" s="5"/>
      <c r="E64" s="5"/>
    </row>
    <row r="65" spans="1:5" x14ac:dyDescent="0.2">
      <c r="A65" s="4"/>
      <c r="B65" s="5"/>
      <c r="C65" s="5"/>
      <c r="D65" s="5"/>
      <c r="E65" s="5"/>
    </row>
    <row r="66" spans="1:5" x14ac:dyDescent="0.2">
      <c r="A66" s="4"/>
      <c r="B66" s="5"/>
      <c r="C66" s="5"/>
      <c r="D66" s="5"/>
      <c r="E66" s="5"/>
    </row>
    <row r="67" spans="1:5" x14ac:dyDescent="0.2">
      <c r="A67" s="4"/>
      <c r="B67" s="5"/>
      <c r="C67" s="5"/>
      <c r="D67" s="5"/>
      <c r="E67" s="5"/>
    </row>
    <row r="68" spans="1:5" x14ac:dyDescent="0.2">
      <c r="A68" s="4"/>
      <c r="B68" s="5"/>
      <c r="C68" s="5"/>
      <c r="D68" s="5"/>
      <c r="E68" s="5"/>
    </row>
    <row r="69" spans="1:5" x14ac:dyDescent="0.2">
      <c r="A69" s="4"/>
      <c r="B69" s="5"/>
      <c r="C69" s="5"/>
      <c r="D69" s="5"/>
      <c r="E69" s="5"/>
    </row>
    <row r="71" spans="1:5" x14ac:dyDescent="0.2">
      <c r="A71" s="15"/>
      <c r="B71" s="15"/>
      <c r="C71" s="15"/>
      <c r="D71" s="15"/>
      <c r="E71" s="15"/>
    </row>
    <row r="72" spans="1:5" x14ac:dyDescent="0.2">
      <c r="A72" s="15"/>
      <c r="B72" s="15"/>
      <c r="C72" s="15"/>
      <c r="D72" s="15"/>
      <c r="E72" s="15"/>
    </row>
    <row r="73" spans="1:5" x14ac:dyDescent="0.2">
      <c r="A73" s="15"/>
      <c r="B73" s="15"/>
      <c r="C73" s="15"/>
      <c r="D73" s="15"/>
      <c r="E73" s="15"/>
    </row>
    <row r="74" spans="1:5" x14ac:dyDescent="0.2">
      <c r="A74" s="15"/>
      <c r="B74" s="15"/>
      <c r="C74" s="15"/>
      <c r="D74" s="15"/>
      <c r="E74" s="15"/>
    </row>
    <row r="75" spans="1:5" x14ac:dyDescent="0.2">
      <c r="A75" s="50" t="s">
        <v>160</v>
      </c>
      <c r="B75" s="50"/>
      <c r="C75" s="50"/>
      <c r="D75" s="50"/>
      <c r="E75" s="50"/>
    </row>
    <row r="76" spans="1:5" x14ac:dyDescent="0.2">
      <c r="A76" s="50"/>
      <c r="B76" s="50"/>
      <c r="C76" s="50"/>
      <c r="D76" s="50"/>
      <c r="E76" s="50"/>
    </row>
    <row r="77" spans="1:5" ht="16" x14ac:dyDescent="0.2">
      <c r="A77" s="2" t="s">
        <v>4</v>
      </c>
      <c r="B77" s="6" t="s">
        <v>169</v>
      </c>
      <c r="C77" s="6"/>
      <c r="D77" s="3"/>
      <c r="E77" s="3"/>
    </row>
    <row r="78" spans="1:5" ht="48" x14ac:dyDescent="0.2">
      <c r="A78">
        <v>2</v>
      </c>
      <c r="B78" s="17" t="s">
        <v>161</v>
      </c>
      <c r="C78" s="13" t="s">
        <v>456</v>
      </c>
    </row>
    <row r="79" spans="1:5" ht="48" x14ac:dyDescent="0.2">
      <c r="A79" t="s">
        <v>419</v>
      </c>
      <c r="B79" s="18" t="s">
        <v>162</v>
      </c>
      <c r="C79" s="13" t="s">
        <v>326</v>
      </c>
      <c r="E79" s="13" t="s">
        <v>190</v>
      </c>
    </row>
    <row r="80" spans="1:5" ht="32" x14ac:dyDescent="0.2">
      <c r="A80">
        <v>9</v>
      </c>
      <c r="B80" s="17" t="s">
        <v>163</v>
      </c>
      <c r="C80" s="13" t="s">
        <v>191</v>
      </c>
    </row>
    <row r="81" spans="1:5" ht="32" x14ac:dyDescent="0.2">
      <c r="A81">
        <v>3</v>
      </c>
      <c r="B81" s="18" t="s">
        <v>164</v>
      </c>
      <c r="C81" s="13" t="s">
        <v>192</v>
      </c>
    </row>
    <row r="82" spans="1:5" ht="16" x14ac:dyDescent="0.2">
      <c r="A82" t="s">
        <v>420</v>
      </c>
      <c r="B82" s="17" t="s">
        <v>165</v>
      </c>
      <c r="C82" s="10" t="s">
        <v>248</v>
      </c>
    </row>
    <row r="83" spans="1:5" ht="16" x14ac:dyDescent="0.2">
      <c r="A83">
        <v>8</v>
      </c>
      <c r="B83" s="18" t="s">
        <v>166</v>
      </c>
      <c r="C83" s="13" t="s">
        <v>293</v>
      </c>
    </row>
    <row r="84" spans="1:5" ht="16" x14ac:dyDescent="0.2">
      <c r="A84">
        <v>11</v>
      </c>
      <c r="B84" s="17" t="s">
        <v>167</v>
      </c>
      <c r="C84" t="s">
        <v>455</v>
      </c>
    </row>
    <row r="85" spans="1:5" ht="48" x14ac:dyDescent="0.2">
      <c r="A85">
        <v>4</v>
      </c>
      <c r="B85" s="18" t="s">
        <v>168</v>
      </c>
      <c r="C85" s="13" t="s">
        <v>193</v>
      </c>
      <c r="E85" s="13" t="s">
        <v>194</v>
      </c>
    </row>
    <row r="87" spans="1:5" ht="16" x14ac:dyDescent="0.2">
      <c r="A87" s="2" t="s">
        <v>14</v>
      </c>
      <c r="B87" s="6" t="s">
        <v>170</v>
      </c>
      <c r="C87" s="6"/>
      <c r="D87" s="3"/>
      <c r="E87" s="3"/>
    </row>
    <row r="88" spans="1:5" ht="32" x14ac:dyDescent="0.2">
      <c r="A88">
        <v>2</v>
      </c>
      <c r="B88" s="17" t="s">
        <v>172</v>
      </c>
      <c r="C88" s="13" t="s">
        <v>217</v>
      </c>
    </row>
    <row r="89" spans="1:5" ht="64" x14ac:dyDescent="0.2">
      <c r="A89" t="s">
        <v>419</v>
      </c>
      <c r="B89" s="18" t="s">
        <v>173</v>
      </c>
      <c r="C89" s="13" t="s">
        <v>320</v>
      </c>
    </row>
    <row r="90" spans="1:5" ht="48" x14ac:dyDescent="0.2">
      <c r="A90">
        <v>9</v>
      </c>
      <c r="B90" s="17" t="s">
        <v>174</v>
      </c>
      <c r="C90" s="13" t="s">
        <v>312</v>
      </c>
    </row>
    <row r="91" spans="1:5" ht="48" x14ac:dyDescent="0.2">
      <c r="A91">
        <v>3</v>
      </c>
      <c r="B91" s="18" t="s">
        <v>175</v>
      </c>
      <c r="C91" s="13" t="s">
        <v>226</v>
      </c>
    </row>
    <row r="92" spans="1:5" ht="48" x14ac:dyDescent="0.2">
      <c r="A92" t="s">
        <v>420</v>
      </c>
      <c r="B92" s="17" t="s">
        <v>176</v>
      </c>
      <c r="C92" s="13" t="s">
        <v>319</v>
      </c>
    </row>
    <row r="93" spans="1:5" ht="48" x14ac:dyDescent="0.2">
      <c r="A93">
        <v>8</v>
      </c>
      <c r="B93" s="18" t="s">
        <v>177</v>
      </c>
      <c r="C93" s="13" t="s">
        <v>201</v>
      </c>
    </row>
    <row r="94" spans="1:5" ht="16" x14ac:dyDescent="0.2">
      <c r="A94">
        <v>11</v>
      </c>
      <c r="B94" s="17" t="s">
        <v>178</v>
      </c>
      <c r="C94" s="13"/>
      <c r="E94" t="s">
        <v>224</v>
      </c>
    </row>
    <row r="95" spans="1:5" ht="64" x14ac:dyDescent="0.2">
      <c r="A95">
        <v>4</v>
      </c>
      <c r="B95" s="18" t="s">
        <v>179</v>
      </c>
      <c r="C95" s="13" t="s">
        <v>330</v>
      </c>
      <c r="E95" s="13" t="s">
        <v>195</v>
      </c>
    </row>
    <row r="105" spans="1:5" ht="16" x14ac:dyDescent="0.2">
      <c r="A105" s="19" t="s">
        <v>15</v>
      </c>
      <c r="B105" s="20" t="s">
        <v>171</v>
      </c>
      <c r="C105" s="20"/>
      <c r="D105" s="21"/>
      <c r="E105" s="21"/>
    </row>
    <row r="106" spans="1:5" ht="48" x14ac:dyDescent="0.2">
      <c r="A106">
        <v>2</v>
      </c>
      <c r="B106" s="17" t="s">
        <v>180</v>
      </c>
      <c r="C106" s="13" t="s">
        <v>205</v>
      </c>
    </row>
    <row r="107" spans="1:5" ht="16" x14ac:dyDescent="0.2">
      <c r="A107" t="s">
        <v>419</v>
      </c>
      <c r="B107" s="18" t="s">
        <v>181</v>
      </c>
    </row>
    <row r="108" spans="1:5" ht="48" x14ac:dyDescent="0.2">
      <c r="A108">
        <v>9</v>
      </c>
      <c r="B108" s="17" t="s">
        <v>182</v>
      </c>
      <c r="C108" s="13" t="s">
        <v>203</v>
      </c>
    </row>
    <row r="109" spans="1:5" ht="32" x14ac:dyDescent="0.2">
      <c r="A109">
        <v>3</v>
      </c>
      <c r="B109" s="18" t="s">
        <v>183</v>
      </c>
      <c r="C109" t="s">
        <v>206</v>
      </c>
    </row>
    <row r="110" spans="1:5" ht="16" x14ac:dyDescent="0.2">
      <c r="A110" t="s">
        <v>420</v>
      </c>
      <c r="B110" s="17" t="s">
        <v>184</v>
      </c>
    </row>
    <row r="111" spans="1:5" ht="48" x14ac:dyDescent="0.2">
      <c r="A111">
        <v>8</v>
      </c>
      <c r="B111" s="18" t="s">
        <v>185</v>
      </c>
      <c r="C111" t="s">
        <v>200</v>
      </c>
      <c r="E111" s="13" t="s">
        <v>196</v>
      </c>
    </row>
    <row r="112" spans="1:5" ht="32" x14ac:dyDescent="0.2">
      <c r="A112">
        <v>11</v>
      </c>
      <c r="B112" s="17" t="s">
        <v>186</v>
      </c>
      <c r="C112" s="13" t="s">
        <v>191</v>
      </c>
      <c r="E112" t="s">
        <v>197</v>
      </c>
    </row>
    <row r="113" spans="1:3" ht="32" x14ac:dyDescent="0.2">
      <c r="A113">
        <v>4</v>
      </c>
      <c r="B113" s="18" t="s">
        <v>187</v>
      </c>
      <c r="C113" s="13" t="s">
        <v>227</v>
      </c>
    </row>
  </sheetData>
  <mergeCells count="1">
    <mergeCell ref="A75:E7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7"/>
  <sheetViews>
    <sheetView workbookViewId="0">
      <pane ySplit="1" topLeftCell="A2" activePane="bottomLeft" state="frozen"/>
      <selection pane="bottomLeft" activeCell="F55" sqref="F55"/>
    </sheetView>
  </sheetViews>
  <sheetFormatPr baseColWidth="10" defaultColWidth="8.83203125" defaultRowHeight="15" x14ac:dyDescent="0.2"/>
  <cols>
    <col min="1" max="1" width="25" customWidth="1"/>
    <col min="2" max="2" width="45" customWidth="1"/>
    <col min="3" max="3" width="12" customWidth="1"/>
    <col min="4" max="4" width="18" customWidth="1"/>
    <col min="5" max="5" width="39.6640625" customWidth="1"/>
    <col min="6" max="6" width="20" customWidth="1"/>
    <col min="7" max="7" width="18.33203125" customWidth="1"/>
  </cols>
  <sheetData>
    <row r="1" spans="1:7" ht="16" x14ac:dyDescent="0.2">
      <c r="A1" s="1" t="s">
        <v>17</v>
      </c>
      <c r="B1" s="1" t="s">
        <v>18</v>
      </c>
      <c r="C1" s="1" t="s">
        <v>19</v>
      </c>
      <c r="D1" s="1" t="s">
        <v>349</v>
      </c>
      <c r="E1" s="22" t="s">
        <v>367</v>
      </c>
      <c r="F1" s="1" t="s">
        <v>20</v>
      </c>
      <c r="G1" s="1" t="s">
        <v>228</v>
      </c>
    </row>
    <row r="2" spans="1:7" ht="16" x14ac:dyDescent="0.2">
      <c r="A2" s="13" t="s">
        <v>219</v>
      </c>
      <c r="B2" s="10" t="s">
        <v>235</v>
      </c>
      <c r="C2" s="4">
        <v>2</v>
      </c>
      <c r="D2" s="4" t="s">
        <v>350</v>
      </c>
      <c r="E2" s="12" t="s">
        <v>370</v>
      </c>
      <c r="F2" s="5" t="s">
        <v>331</v>
      </c>
      <c r="G2" s="9"/>
    </row>
    <row r="3" spans="1:7" ht="16" x14ac:dyDescent="0.2">
      <c r="A3" s="10" t="s">
        <v>104</v>
      </c>
      <c r="B3" s="5" t="s">
        <v>253</v>
      </c>
      <c r="C3" s="4">
        <v>1</v>
      </c>
      <c r="D3" s="4" t="s">
        <v>351</v>
      </c>
      <c r="E3" s="12" t="s">
        <v>370</v>
      </c>
      <c r="F3" s="5" t="s">
        <v>329</v>
      </c>
      <c r="G3" s="9"/>
    </row>
    <row r="4" spans="1:7" ht="16" x14ac:dyDescent="0.2">
      <c r="A4" s="10" t="s">
        <v>246</v>
      </c>
      <c r="B4" s="9" t="s">
        <v>257</v>
      </c>
      <c r="C4" s="4">
        <v>1</v>
      </c>
      <c r="D4" s="4" t="s">
        <v>351</v>
      </c>
      <c r="E4" s="11" t="s">
        <v>413</v>
      </c>
      <c r="F4" s="5" t="s">
        <v>321</v>
      </c>
      <c r="G4" s="9"/>
    </row>
    <row r="5" spans="1:7" ht="32" x14ac:dyDescent="0.2">
      <c r="A5" s="12" t="s">
        <v>152</v>
      </c>
      <c r="B5" s="5" t="s">
        <v>238</v>
      </c>
      <c r="C5" s="4">
        <v>1</v>
      </c>
      <c r="D5" s="4" t="s">
        <v>352</v>
      </c>
      <c r="E5" s="12" t="s">
        <v>499</v>
      </c>
      <c r="F5" s="5" t="s">
        <v>329</v>
      </c>
      <c r="G5" s="9"/>
    </row>
    <row r="6" spans="1:7" ht="32" x14ac:dyDescent="0.2">
      <c r="A6" s="10" t="s">
        <v>234</v>
      </c>
      <c r="B6" s="5" t="s">
        <v>239</v>
      </c>
      <c r="C6" s="4">
        <v>1</v>
      </c>
      <c r="D6" s="4" t="s">
        <v>350</v>
      </c>
      <c r="E6" t="s">
        <v>531</v>
      </c>
      <c r="F6" s="5" t="s">
        <v>329</v>
      </c>
      <c r="G6" s="9"/>
    </row>
    <row r="7" spans="1:7" ht="48" x14ac:dyDescent="0.2">
      <c r="A7" s="5" t="s">
        <v>274</v>
      </c>
      <c r="B7" s="5" t="s">
        <v>275</v>
      </c>
      <c r="C7" s="4">
        <v>2</v>
      </c>
      <c r="D7" s="4" t="s">
        <v>351</v>
      </c>
      <c r="E7" s="12" t="s">
        <v>373</v>
      </c>
      <c r="F7" s="5" t="s">
        <v>332</v>
      </c>
      <c r="G7" s="10" t="s">
        <v>357</v>
      </c>
    </row>
    <row r="8" spans="1:7" ht="16" x14ac:dyDescent="0.2">
      <c r="A8" s="10" t="s">
        <v>106</v>
      </c>
      <c r="B8" s="5" t="s">
        <v>241</v>
      </c>
      <c r="C8" s="4">
        <v>2</v>
      </c>
      <c r="D8" s="4" t="s">
        <v>351</v>
      </c>
      <c r="E8" s="12" t="s">
        <v>370</v>
      </c>
      <c r="F8" s="5" t="s">
        <v>329</v>
      </c>
      <c r="G8" s="9"/>
    </row>
    <row r="9" spans="1:7" ht="32" x14ac:dyDescent="0.2">
      <c r="A9" s="33" t="s">
        <v>233</v>
      </c>
      <c r="B9" s="34" t="s">
        <v>240</v>
      </c>
      <c r="C9" s="35">
        <v>2</v>
      </c>
      <c r="D9" s="35" t="s">
        <v>352</v>
      </c>
      <c r="E9" s="47" t="s">
        <v>491</v>
      </c>
      <c r="F9" s="34" t="s">
        <v>329</v>
      </c>
      <c r="G9" s="36" t="s">
        <v>358</v>
      </c>
    </row>
    <row r="10" spans="1:7" ht="16" x14ac:dyDescent="0.2">
      <c r="A10" s="5" t="s">
        <v>229</v>
      </c>
      <c r="B10" s="5" t="s">
        <v>242</v>
      </c>
      <c r="C10" s="4">
        <v>1</v>
      </c>
      <c r="D10" s="4" t="s">
        <v>352</v>
      </c>
      <c r="E10" s="12" t="s">
        <v>374</v>
      </c>
      <c r="F10" s="5" t="s">
        <v>329</v>
      </c>
      <c r="G10" s="9"/>
    </row>
    <row r="11" spans="1:7" ht="32" x14ac:dyDescent="0.2">
      <c r="A11" s="5" t="s">
        <v>230</v>
      </c>
      <c r="B11" s="16" t="s">
        <v>243</v>
      </c>
      <c r="C11" s="9"/>
      <c r="D11" s="32" t="s">
        <v>351</v>
      </c>
      <c r="E11" s="12" t="s">
        <v>498</v>
      </c>
      <c r="F11" s="9"/>
      <c r="G11" s="9"/>
    </row>
    <row r="12" spans="1:7" ht="32" x14ac:dyDescent="0.2">
      <c r="A12" s="5" t="s">
        <v>231</v>
      </c>
      <c r="B12" s="10" t="s">
        <v>236</v>
      </c>
      <c r="C12" s="23">
        <v>4</v>
      </c>
      <c r="D12" s="23" t="s">
        <v>350</v>
      </c>
      <c r="E12" t="s">
        <v>502</v>
      </c>
      <c r="F12" s="24" t="s">
        <v>333</v>
      </c>
      <c r="G12" s="31" t="s">
        <v>348</v>
      </c>
    </row>
    <row r="13" spans="1:7" ht="48" x14ac:dyDescent="0.2">
      <c r="A13" s="5" t="s">
        <v>232</v>
      </c>
      <c r="B13" s="5" t="s">
        <v>237</v>
      </c>
      <c r="C13" s="4">
        <v>2</v>
      </c>
      <c r="D13" s="4" t="s">
        <v>350</v>
      </c>
      <c r="E13" s="12" t="s">
        <v>372</v>
      </c>
      <c r="F13" s="5" t="s">
        <v>334</v>
      </c>
      <c r="G13" s="10" t="s">
        <v>355</v>
      </c>
    </row>
    <row r="14" spans="1:7" ht="32" x14ac:dyDescent="0.2">
      <c r="A14" s="5" t="s">
        <v>154</v>
      </c>
      <c r="B14" s="5" t="s">
        <v>244</v>
      </c>
      <c r="C14" s="23">
        <v>6</v>
      </c>
      <c r="D14" s="23" t="s">
        <v>352</v>
      </c>
      <c r="E14" s="49" t="s">
        <v>491</v>
      </c>
      <c r="F14" s="24" t="s">
        <v>309</v>
      </c>
      <c r="G14" s="25" t="s">
        <v>311</v>
      </c>
    </row>
    <row r="15" spans="1:7" ht="32" x14ac:dyDescent="0.2">
      <c r="A15" s="10" t="s">
        <v>245</v>
      </c>
      <c r="B15" s="5" t="s">
        <v>254</v>
      </c>
      <c r="C15" s="23">
        <v>2</v>
      </c>
      <c r="D15" s="23" t="s">
        <v>352</v>
      </c>
      <c r="E15" s="12" t="s">
        <v>529</v>
      </c>
      <c r="F15" s="24" t="s">
        <v>335</v>
      </c>
      <c r="G15" s="31" t="s">
        <v>353</v>
      </c>
    </row>
    <row r="16" spans="1:7" ht="32" x14ac:dyDescent="0.2">
      <c r="A16" s="10" t="s">
        <v>247</v>
      </c>
      <c r="B16" s="5" t="s">
        <v>255</v>
      </c>
      <c r="C16" s="23">
        <v>4</v>
      </c>
      <c r="D16" s="23" t="s">
        <v>350</v>
      </c>
      <c r="E16" t="s">
        <v>502</v>
      </c>
      <c r="F16" s="24" t="s">
        <v>336</v>
      </c>
      <c r="G16" s="31" t="s">
        <v>348</v>
      </c>
    </row>
    <row r="17" spans="1:7" ht="48" x14ac:dyDescent="0.2">
      <c r="A17" s="16" t="s">
        <v>256</v>
      </c>
      <c r="B17" s="5" t="s">
        <v>258</v>
      </c>
      <c r="C17" s="23">
        <v>6</v>
      </c>
      <c r="D17" s="23" t="s">
        <v>350</v>
      </c>
      <c r="E17" t="s">
        <v>500</v>
      </c>
      <c r="F17" s="24" t="s">
        <v>337</v>
      </c>
      <c r="G17" s="25" t="s">
        <v>311</v>
      </c>
    </row>
    <row r="18" spans="1:7" ht="32" x14ac:dyDescent="0.2">
      <c r="A18" s="10" t="s">
        <v>248</v>
      </c>
      <c r="B18" s="5" t="s">
        <v>259</v>
      </c>
      <c r="C18" s="26">
        <v>3</v>
      </c>
      <c r="D18" s="26" t="s">
        <v>352</v>
      </c>
      <c r="E18" s="12" t="s">
        <v>498</v>
      </c>
      <c r="F18" s="27" t="s">
        <v>339</v>
      </c>
      <c r="G18" s="29" t="s">
        <v>340</v>
      </c>
    </row>
    <row r="19" spans="1:7" ht="32" x14ac:dyDescent="0.2">
      <c r="A19" s="13" t="s">
        <v>318</v>
      </c>
      <c r="B19" s="5" t="s">
        <v>260</v>
      </c>
      <c r="C19" s="23">
        <v>3</v>
      </c>
      <c r="D19" s="23" t="s">
        <v>350</v>
      </c>
      <c r="E19" s="12" t="s">
        <v>501</v>
      </c>
      <c r="F19" s="24" t="s">
        <v>338</v>
      </c>
      <c r="G19" s="9"/>
    </row>
    <row r="20" spans="1:7" ht="64" x14ac:dyDescent="0.2">
      <c r="A20" s="33" t="s">
        <v>250</v>
      </c>
      <c r="B20" s="34" t="s">
        <v>261</v>
      </c>
      <c r="C20" s="35">
        <v>1</v>
      </c>
      <c r="D20" s="35" t="s">
        <v>351</v>
      </c>
      <c r="E20" s="12" t="s">
        <v>495</v>
      </c>
      <c r="F20" s="34" t="s">
        <v>321</v>
      </c>
      <c r="G20" s="33" t="s">
        <v>359</v>
      </c>
    </row>
    <row r="21" spans="1:7" ht="48" x14ac:dyDescent="0.2">
      <c r="A21" s="10" t="s">
        <v>249</v>
      </c>
      <c r="B21" s="5" t="s">
        <v>262</v>
      </c>
      <c r="C21" s="4">
        <v>1</v>
      </c>
      <c r="D21" s="4" t="s">
        <v>352</v>
      </c>
      <c r="E21" s="12" t="s">
        <v>495</v>
      </c>
      <c r="F21" s="5" t="s">
        <v>321</v>
      </c>
      <c r="G21" s="9"/>
    </row>
    <row r="22" spans="1:7" ht="32" x14ac:dyDescent="0.2">
      <c r="A22" s="10" t="s">
        <v>251</v>
      </c>
      <c r="B22" s="5" t="s">
        <v>263</v>
      </c>
      <c r="C22" s="4">
        <v>1</v>
      </c>
      <c r="D22" s="4" t="s">
        <v>350</v>
      </c>
      <c r="E22" s="11" t="s">
        <v>503</v>
      </c>
      <c r="F22" s="5" t="s">
        <v>321</v>
      </c>
      <c r="G22" s="9"/>
    </row>
    <row r="23" spans="1:7" ht="32" x14ac:dyDescent="0.2">
      <c r="A23" t="s">
        <v>220</v>
      </c>
      <c r="B23" s="5" t="s">
        <v>266</v>
      </c>
      <c r="C23" s="4">
        <v>1</v>
      </c>
      <c r="D23" s="4" t="s">
        <v>351</v>
      </c>
      <c r="E23" s="12" t="s">
        <v>501</v>
      </c>
      <c r="F23" s="5" t="s">
        <v>341</v>
      </c>
      <c r="G23" s="10" t="s">
        <v>360</v>
      </c>
    </row>
    <row r="24" spans="1:7" ht="32" x14ac:dyDescent="0.2">
      <c r="A24" s="5" t="s">
        <v>267</v>
      </c>
      <c r="B24" s="5" t="s">
        <v>269</v>
      </c>
      <c r="C24" s="4">
        <v>1</v>
      </c>
      <c r="D24" s="4" t="s">
        <v>350</v>
      </c>
      <c r="E24" t="s">
        <v>500</v>
      </c>
      <c r="F24" s="5" t="s">
        <v>341</v>
      </c>
      <c r="G24" s="9"/>
    </row>
    <row r="25" spans="1:7" ht="64" x14ac:dyDescent="0.2">
      <c r="A25" s="34" t="s">
        <v>252</v>
      </c>
      <c r="B25" s="34" t="s">
        <v>264</v>
      </c>
      <c r="C25" s="35">
        <v>1</v>
      </c>
      <c r="D25" s="35" t="s">
        <v>352</v>
      </c>
      <c r="E25" s="12" t="s">
        <v>530</v>
      </c>
      <c r="F25" s="34" t="s">
        <v>321</v>
      </c>
      <c r="G25" s="33" t="s">
        <v>359</v>
      </c>
    </row>
    <row r="26" spans="1:7" ht="32" x14ac:dyDescent="0.2">
      <c r="A26" s="27" t="s">
        <v>206</v>
      </c>
      <c r="B26" s="27" t="s">
        <v>265</v>
      </c>
      <c r="C26" s="26">
        <v>2</v>
      </c>
      <c r="D26" s="26" t="s">
        <v>350</v>
      </c>
      <c r="E26" s="12" t="s">
        <v>501</v>
      </c>
      <c r="F26" s="27" t="s">
        <v>342</v>
      </c>
      <c r="G26" s="28"/>
    </row>
    <row r="27" spans="1:7" ht="64" x14ac:dyDescent="0.2">
      <c r="A27" s="24" t="s">
        <v>268</v>
      </c>
      <c r="B27" s="24" t="s">
        <v>270</v>
      </c>
      <c r="C27" s="23">
        <v>3</v>
      </c>
      <c r="D27" s="23" t="s">
        <v>352</v>
      </c>
      <c r="E27" t="s">
        <v>531</v>
      </c>
      <c r="F27" s="24" t="s">
        <v>343</v>
      </c>
      <c r="G27" s="31" t="s">
        <v>361</v>
      </c>
    </row>
    <row r="28" spans="1:7" ht="64" x14ac:dyDescent="0.2">
      <c r="A28" s="5" t="s">
        <v>271</v>
      </c>
      <c r="B28" s="5" t="s">
        <v>272</v>
      </c>
      <c r="C28" s="4">
        <v>1</v>
      </c>
      <c r="D28" s="4" t="s">
        <v>352</v>
      </c>
      <c r="E28" t="s">
        <v>531</v>
      </c>
      <c r="F28" s="5" t="s">
        <v>344</v>
      </c>
      <c r="G28" s="10" t="s">
        <v>354</v>
      </c>
    </row>
    <row r="29" spans="1:7" ht="48" x14ac:dyDescent="0.2">
      <c r="A29" s="5" t="s">
        <v>273</v>
      </c>
      <c r="B29" s="5" t="s">
        <v>277</v>
      </c>
      <c r="C29" s="4">
        <v>1</v>
      </c>
      <c r="D29" s="4" t="s">
        <v>350</v>
      </c>
      <c r="E29" t="s">
        <v>500</v>
      </c>
      <c r="F29" s="5" t="s">
        <v>344</v>
      </c>
      <c r="G29" s="10" t="s">
        <v>355</v>
      </c>
    </row>
    <row r="30" spans="1:7" ht="48" x14ac:dyDescent="0.2">
      <c r="A30" s="5" t="s">
        <v>278</v>
      </c>
      <c r="B30" s="5" t="s">
        <v>281</v>
      </c>
      <c r="C30" s="4">
        <v>1</v>
      </c>
      <c r="D30" s="4" t="s">
        <v>352</v>
      </c>
      <c r="E30" s="12" t="s">
        <v>499</v>
      </c>
      <c r="F30" s="5" t="s">
        <v>307</v>
      </c>
      <c r="G30" s="10" t="s">
        <v>356</v>
      </c>
    </row>
    <row r="31" spans="1:7" ht="48" x14ac:dyDescent="0.2">
      <c r="A31" s="24" t="s">
        <v>279</v>
      </c>
      <c r="B31" s="24" t="s">
        <v>362</v>
      </c>
      <c r="C31" s="23">
        <v>3</v>
      </c>
      <c r="D31" s="23" t="s">
        <v>350</v>
      </c>
      <c r="E31" t="s">
        <v>502</v>
      </c>
      <c r="F31" s="24" t="s">
        <v>345</v>
      </c>
      <c r="G31" s="31" t="s">
        <v>363</v>
      </c>
    </row>
    <row r="32" spans="1:7" ht="32" x14ac:dyDescent="0.2">
      <c r="A32" s="27" t="s">
        <v>280</v>
      </c>
      <c r="B32" s="27" t="s">
        <v>282</v>
      </c>
      <c r="C32" s="26">
        <v>1</v>
      </c>
      <c r="D32" s="26" t="s">
        <v>350</v>
      </c>
      <c r="E32" s="13" t="s">
        <v>533</v>
      </c>
      <c r="F32" s="27" t="s">
        <v>307</v>
      </c>
      <c r="G32" s="29" t="s">
        <v>364</v>
      </c>
    </row>
    <row r="33" spans="1:7" ht="32" x14ac:dyDescent="0.2">
      <c r="A33" s="5" t="s">
        <v>283</v>
      </c>
      <c r="B33" s="5" t="s">
        <v>284</v>
      </c>
      <c r="C33" s="4">
        <v>1</v>
      </c>
      <c r="D33" s="4" t="s">
        <v>351</v>
      </c>
      <c r="E33" s="12" t="s">
        <v>495</v>
      </c>
      <c r="F33" s="5" t="s">
        <v>307</v>
      </c>
      <c r="G33" s="9"/>
    </row>
    <row r="34" spans="1:7" ht="32" x14ac:dyDescent="0.2">
      <c r="A34" s="5" t="s">
        <v>285</v>
      </c>
      <c r="B34" s="5" t="s">
        <v>286</v>
      </c>
      <c r="C34" s="4">
        <v>1</v>
      </c>
      <c r="D34" s="4" t="s">
        <v>351</v>
      </c>
      <c r="E34" s="12" t="s">
        <v>501</v>
      </c>
      <c r="F34" s="5" t="s">
        <v>307</v>
      </c>
      <c r="G34" s="9"/>
    </row>
    <row r="35" spans="1:7" ht="32" x14ac:dyDescent="0.2">
      <c r="A35" s="5" t="s">
        <v>287</v>
      </c>
      <c r="B35" s="5" t="s">
        <v>288</v>
      </c>
      <c r="C35" s="4">
        <v>2</v>
      </c>
      <c r="D35" s="4" t="s">
        <v>352</v>
      </c>
      <c r="E35" t="s">
        <v>531</v>
      </c>
      <c r="F35" s="5" t="s">
        <v>328</v>
      </c>
      <c r="G35" s="9"/>
    </row>
    <row r="36" spans="1:7" ht="32" x14ac:dyDescent="0.2">
      <c r="A36" s="5" t="s">
        <v>289</v>
      </c>
      <c r="B36" s="5" t="s">
        <v>290</v>
      </c>
      <c r="C36" s="4">
        <v>2</v>
      </c>
      <c r="D36" s="4" t="s">
        <v>352</v>
      </c>
      <c r="E36" s="12" t="s">
        <v>491</v>
      </c>
      <c r="F36" s="5" t="s">
        <v>346</v>
      </c>
      <c r="G36" s="9"/>
    </row>
    <row r="37" spans="1:7" ht="16" x14ac:dyDescent="0.2">
      <c r="A37" t="s">
        <v>455</v>
      </c>
      <c r="B37" s="5" t="s">
        <v>452</v>
      </c>
      <c r="C37" s="4">
        <v>2</v>
      </c>
      <c r="D37" s="4" t="s">
        <v>352</v>
      </c>
      <c r="E37" s="12" t="s">
        <v>491</v>
      </c>
      <c r="F37" s="5" t="s">
        <v>327</v>
      </c>
      <c r="G37" s="9"/>
    </row>
    <row r="38" spans="1:7" ht="32" x14ac:dyDescent="0.2">
      <c r="A38" s="5" t="s">
        <v>291</v>
      </c>
      <c r="B38" s="5" t="s">
        <v>292</v>
      </c>
      <c r="C38" s="4">
        <v>1</v>
      </c>
      <c r="D38" s="4" t="s">
        <v>352</v>
      </c>
      <c r="E38" s="12" t="s">
        <v>495</v>
      </c>
      <c r="F38" s="5" t="s">
        <v>327</v>
      </c>
      <c r="G38" s="9"/>
    </row>
    <row r="39" spans="1:7" ht="48" x14ac:dyDescent="0.2">
      <c r="A39" s="5" t="s">
        <v>192</v>
      </c>
      <c r="B39" s="5" t="s">
        <v>294</v>
      </c>
      <c r="C39" s="4">
        <v>2</v>
      </c>
      <c r="D39" s="4" t="s">
        <v>352</v>
      </c>
      <c r="E39" s="12" t="s">
        <v>374</v>
      </c>
      <c r="F39" s="5" t="s">
        <v>327</v>
      </c>
      <c r="G39" s="9"/>
    </row>
    <row r="40" spans="1:7" ht="16" x14ac:dyDescent="0.2">
      <c r="A40" s="5" t="s">
        <v>293</v>
      </c>
      <c r="B40" s="5" t="s">
        <v>295</v>
      </c>
      <c r="C40" s="4">
        <v>2</v>
      </c>
      <c r="D40" s="4" t="s">
        <v>351</v>
      </c>
      <c r="E40" s="12" t="s">
        <v>495</v>
      </c>
      <c r="F40" s="5" t="s">
        <v>327</v>
      </c>
      <c r="G40" s="9"/>
    </row>
    <row r="41" spans="1:7" ht="32" x14ac:dyDescent="0.2">
      <c r="A41" s="24" t="s">
        <v>296</v>
      </c>
      <c r="B41" s="24" t="s">
        <v>297</v>
      </c>
      <c r="C41" s="23">
        <v>3</v>
      </c>
      <c r="D41" s="23" t="s">
        <v>350</v>
      </c>
      <c r="E41" t="s">
        <v>531</v>
      </c>
      <c r="F41" s="24" t="s">
        <v>317</v>
      </c>
      <c r="G41" s="9"/>
    </row>
    <row r="42" spans="1:7" ht="32" x14ac:dyDescent="0.2">
      <c r="A42" t="s">
        <v>298</v>
      </c>
      <c r="B42" s="10" t="s">
        <v>299</v>
      </c>
      <c r="C42" s="4">
        <v>1</v>
      </c>
      <c r="D42" s="4" t="s">
        <v>350</v>
      </c>
      <c r="E42" t="s">
        <v>502</v>
      </c>
      <c r="F42" s="5" t="s">
        <v>317</v>
      </c>
      <c r="G42" s="9"/>
    </row>
    <row r="43" spans="1:7" ht="32" x14ac:dyDescent="0.2">
      <c r="A43" s="24" t="s">
        <v>200</v>
      </c>
      <c r="B43" s="24" t="s">
        <v>300</v>
      </c>
      <c r="C43" s="23">
        <v>3</v>
      </c>
      <c r="D43" s="23" t="s">
        <v>352</v>
      </c>
      <c r="E43" s="12" t="s">
        <v>373</v>
      </c>
      <c r="F43" s="24" t="s">
        <v>347</v>
      </c>
      <c r="G43" s="9"/>
    </row>
    <row r="44" spans="1:7" ht="48" x14ac:dyDescent="0.2">
      <c r="A44" s="34" t="s">
        <v>301</v>
      </c>
      <c r="B44" s="34" t="s">
        <v>302</v>
      </c>
      <c r="C44" s="35">
        <v>1</v>
      </c>
      <c r="D44" s="35" t="s">
        <v>351</v>
      </c>
      <c r="E44" s="12" t="s">
        <v>374</v>
      </c>
      <c r="F44" s="34" t="s">
        <v>317</v>
      </c>
      <c r="G44" s="33" t="s">
        <v>365</v>
      </c>
    </row>
    <row r="45" spans="1:7" ht="32" x14ac:dyDescent="0.2">
      <c r="A45" s="5" t="s">
        <v>303</v>
      </c>
      <c r="B45" s="5" t="s">
        <v>304</v>
      </c>
      <c r="C45" s="4">
        <v>1</v>
      </c>
      <c r="D45" s="4" t="s">
        <v>351</v>
      </c>
      <c r="E45" s="12" t="s">
        <v>373</v>
      </c>
      <c r="F45" s="5" t="s">
        <v>308</v>
      </c>
      <c r="G45" s="9"/>
    </row>
    <row r="46" spans="1:7" ht="32" x14ac:dyDescent="0.2">
      <c r="A46" s="24" t="s">
        <v>305</v>
      </c>
      <c r="B46" s="24" t="s">
        <v>306</v>
      </c>
      <c r="C46" s="23">
        <v>1</v>
      </c>
      <c r="D46" s="23" t="s">
        <v>352</v>
      </c>
      <c r="E46" s="48" t="s">
        <v>528</v>
      </c>
      <c r="F46" s="24" t="s">
        <v>308</v>
      </c>
      <c r="G46" s="30"/>
    </row>
    <row r="47" spans="1:7" ht="16" x14ac:dyDescent="0.2">
      <c r="A47" s="34" t="s">
        <v>313</v>
      </c>
      <c r="B47" s="34" t="s">
        <v>314</v>
      </c>
      <c r="C47" s="35">
        <v>1</v>
      </c>
      <c r="D47" s="35" t="s">
        <v>352</v>
      </c>
      <c r="E47" s="12" t="s">
        <v>491</v>
      </c>
      <c r="F47" s="34" t="s">
        <v>308</v>
      </c>
      <c r="G47" s="36" t="s">
        <v>366</v>
      </c>
    </row>
    <row r="48" spans="1:7" ht="48" x14ac:dyDescent="0.2">
      <c r="A48" s="29" t="s">
        <v>315</v>
      </c>
      <c r="B48" s="29" t="s">
        <v>316</v>
      </c>
      <c r="C48" s="26">
        <v>1</v>
      </c>
      <c r="D48" s="26" t="s">
        <v>350</v>
      </c>
      <c r="E48" s="12" t="s">
        <v>532</v>
      </c>
      <c r="F48" s="27" t="s">
        <v>317</v>
      </c>
      <c r="G48" s="28"/>
    </row>
    <row r="49" spans="1:7" ht="48" x14ac:dyDescent="0.2">
      <c r="A49" s="5" t="s">
        <v>322</v>
      </c>
      <c r="B49" s="5" t="s">
        <v>323</v>
      </c>
      <c r="C49" s="4">
        <v>1</v>
      </c>
      <c r="D49" s="4" t="s">
        <v>350</v>
      </c>
      <c r="E49" t="s">
        <v>502</v>
      </c>
      <c r="F49" s="5" t="s">
        <v>317</v>
      </c>
      <c r="G49" s="9"/>
    </row>
    <row r="50" spans="1:7" ht="16" x14ac:dyDescent="0.2">
      <c r="A50" s="10" t="s">
        <v>324</v>
      </c>
      <c r="B50" s="5" t="s">
        <v>325</v>
      </c>
      <c r="C50" s="4">
        <v>1</v>
      </c>
      <c r="D50" s="4" t="s">
        <v>350</v>
      </c>
      <c r="E50" s="12" t="s">
        <v>370</v>
      </c>
      <c r="F50" s="5" t="s">
        <v>317</v>
      </c>
      <c r="G50" s="9"/>
    </row>
    <row r="51" spans="1:7" x14ac:dyDescent="0.2">
      <c r="A51" s="5"/>
      <c r="B51" s="5"/>
      <c r="C51" s="4"/>
      <c r="D51" s="4"/>
      <c r="E51" s="11"/>
      <c r="F51" s="5"/>
      <c r="G51" s="9"/>
    </row>
    <row r="52" spans="1:7" x14ac:dyDescent="0.2">
      <c r="A52" s="13"/>
    </row>
    <row r="53" spans="1:7" x14ac:dyDescent="0.2">
      <c r="A53" s="13"/>
    </row>
    <row r="54" spans="1:7" x14ac:dyDescent="0.2">
      <c r="A54" s="13"/>
    </row>
    <row r="55" spans="1:7" x14ac:dyDescent="0.2">
      <c r="A55" s="13"/>
    </row>
    <row r="56" spans="1:7" x14ac:dyDescent="0.2">
      <c r="A56" s="13"/>
    </row>
    <row r="57" spans="1:7" x14ac:dyDescent="0.2">
      <c r="A57" s="13"/>
    </row>
  </sheetData>
  <dataValidations count="1">
    <dataValidation type="list" allowBlank="1" showInputMessage="1" showErrorMessage="1" sqref="D2:D51" xr:uid="{70964B00-6C02-374D-9EB8-486B27ED9A4A}">
      <formula1>"Descriptive,Hypothesised,Emergent"</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
  <sheetViews>
    <sheetView workbookViewId="0">
      <pane ySplit="1" topLeftCell="A13" activePane="bottomLeft" state="frozen"/>
      <selection pane="bottomLeft" activeCell="F22" sqref="F22"/>
    </sheetView>
  </sheetViews>
  <sheetFormatPr baseColWidth="10" defaultColWidth="8.83203125" defaultRowHeight="15" x14ac:dyDescent="0.2"/>
  <cols>
    <col min="1" max="1" width="36" customWidth="1"/>
    <col min="2" max="2" width="50" customWidth="1"/>
    <col min="3" max="4" width="40" customWidth="1"/>
    <col min="5" max="5" width="19.33203125" customWidth="1"/>
    <col min="6" max="6" width="50" customWidth="1"/>
  </cols>
  <sheetData>
    <row r="1" spans="1:6" ht="16" x14ac:dyDescent="0.2">
      <c r="A1" s="1" t="s">
        <v>21</v>
      </c>
      <c r="B1" s="1" t="s">
        <v>22</v>
      </c>
      <c r="C1" s="1" t="s">
        <v>23</v>
      </c>
      <c r="D1" s="1" t="s">
        <v>392</v>
      </c>
      <c r="E1" s="1" t="s">
        <v>457</v>
      </c>
      <c r="F1" s="1" t="s">
        <v>24</v>
      </c>
    </row>
    <row r="2" spans="1:6" ht="64" x14ac:dyDescent="0.2">
      <c r="A2" s="5" t="s">
        <v>368</v>
      </c>
      <c r="B2" s="5" t="s">
        <v>408</v>
      </c>
      <c r="C2" s="5" t="s">
        <v>305</v>
      </c>
      <c r="D2" s="5" t="s">
        <v>416</v>
      </c>
      <c r="E2" s="4">
        <v>4</v>
      </c>
      <c r="F2" s="5" t="s">
        <v>416</v>
      </c>
    </row>
    <row r="3" spans="1:6" ht="64" x14ac:dyDescent="0.2">
      <c r="A3" s="5" t="s">
        <v>369</v>
      </c>
      <c r="B3" s="5" t="s">
        <v>409</v>
      </c>
      <c r="C3" s="5" t="s">
        <v>450</v>
      </c>
      <c r="D3" s="5"/>
      <c r="E3" s="4" t="s">
        <v>451</v>
      </c>
      <c r="F3" s="5" t="s">
        <v>453</v>
      </c>
    </row>
    <row r="4" spans="1:6" ht="48" x14ac:dyDescent="0.2">
      <c r="A4" s="5" t="s">
        <v>370</v>
      </c>
      <c r="B4" s="5" t="s">
        <v>394</v>
      </c>
      <c r="C4" s="13" t="s">
        <v>383</v>
      </c>
      <c r="D4" s="10" t="s">
        <v>395</v>
      </c>
      <c r="E4" s="4" t="s">
        <v>439</v>
      </c>
      <c r="F4" s="5" t="s">
        <v>417</v>
      </c>
    </row>
    <row r="5" spans="1:6" ht="96" x14ac:dyDescent="0.2">
      <c r="A5" s="5" t="s">
        <v>371</v>
      </c>
      <c r="B5" s="5" t="s">
        <v>396</v>
      </c>
      <c r="C5" s="5" t="s">
        <v>454</v>
      </c>
      <c r="D5" s="5"/>
      <c r="E5" s="4" t="s">
        <v>440</v>
      </c>
      <c r="F5" s="5" t="s">
        <v>418</v>
      </c>
    </row>
    <row r="6" spans="1:6" ht="80" x14ac:dyDescent="0.2">
      <c r="A6" s="13" t="s">
        <v>372</v>
      </c>
      <c r="B6" s="5" t="s">
        <v>410</v>
      </c>
      <c r="C6" s="5" t="s">
        <v>232</v>
      </c>
      <c r="D6" s="5"/>
      <c r="E6" s="4" t="s">
        <v>421</v>
      </c>
      <c r="F6" s="5" t="s">
        <v>422</v>
      </c>
    </row>
    <row r="7" spans="1:6" ht="64" x14ac:dyDescent="0.2">
      <c r="A7" s="5" t="s">
        <v>373</v>
      </c>
      <c r="B7" s="5" t="s">
        <v>397</v>
      </c>
      <c r="C7" s="5" t="s">
        <v>384</v>
      </c>
      <c r="D7" s="5"/>
      <c r="E7" s="4" t="s">
        <v>441</v>
      </c>
      <c r="F7" s="5" t="s">
        <v>423</v>
      </c>
    </row>
    <row r="8" spans="1:6" ht="64" x14ac:dyDescent="0.2">
      <c r="A8" s="5" t="s">
        <v>374</v>
      </c>
      <c r="B8" s="5" t="s">
        <v>398</v>
      </c>
      <c r="C8" s="37" t="s">
        <v>385</v>
      </c>
      <c r="D8" s="37"/>
      <c r="E8" s="4" t="s">
        <v>442</v>
      </c>
      <c r="F8" s="5" t="s">
        <v>424</v>
      </c>
    </row>
    <row r="9" spans="1:6" ht="128" x14ac:dyDescent="0.2">
      <c r="A9" s="5" t="s">
        <v>375</v>
      </c>
      <c r="B9" s="5" t="s">
        <v>399</v>
      </c>
      <c r="C9" s="5" t="s">
        <v>414</v>
      </c>
      <c r="D9" s="5" t="s">
        <v>415</v>
      </c>
      <c r="E9" s="4" t="s">
        <v>443</v>
      </c>
      <c r="F9" s="5" t="s">
        <v>425</v>
      </c>
    </row>
    <row r="10" spans="1:6" ht="80" x14ac:dyDescent="0.2">
      <c r="A10" s="5" t="s">
        <v>382</v>
      </c>
      <c r="B10" s="5" t="s">
        <v>400</v>
      </c>
      <c r="C10" s="5" t="s">
        <v>386</v>
      </c>
      <c r="D10" s="5" t="s">
        <v>393</v>
      </c>
      <c r="E10" s="4" t="s">
        <v>444</v>
      </c>
      <c r="F10" s="5" t="s">
        <v>401</v>
      </c>
    </row>
    <row r="11" spans="1:6" ht="64" x14ac:dyDescent="0.2">
      <c r="A11" s="5" t="s">
        <v>376</v>
      </c>
      <c r="B11" s="5" t="s">
        <v>411</v>
      </c>
      <c r="C11" s="5" t="s">
        <v>413</v>
      </c>
      <c r="D11" s="5" t="s">
        <v>412</v>
      </c>
      <c r="E11" s="4"/>
      <c r="F11" s="5" t="s">
        <v>413</v>
      </c>
    </row>
    <row r="12" spans="1:6" ht="64" x14ac:dyDescent="0.2">
      <c r="A12" s="5" t="s">
        <v>377</v>
      </c>
      <c r="B12" s="5" t="s">
        <v>402</v>
      </c>
      <c r="C12" s="5" t="s">
        <v>387</v>
      </c>
      <c r="D12" s="5"/>
      <c r="E12" s="4" t="s">
        <v>445</v>
      </c>
      <c r="F12" s="5" t="s">
        <v>426</v>
      </c>
    </row>
    <row r="13" spans="1:6" ht="96" x14ac:dyDescent="0.2">
      <c r="A13" s="5" t="s">
        <v>378</v>
      </c>
      <c r="B13" s="5" t="s">
        <v>403</v>
      </c>
      <c r="C13" s="5" t="s">
        <v>388</v>
      </c>
      <c r="D13" s="5"/>
      <c r="E13" s="38" t="s">
        <v>446</v>
      </c>
      <c r="F13" s="5" t="s">
        <v>427</v>
      </c>
    </row>
    <row r="14" spans="1:6" ht="64" x14ac:dyDescent="0.2">
      <c r="A14" s="5" t="s">
        <v>379</v>
      </c>
      <c r="B14" s="5" t="s">
        <v>404</v>
      </c>
      <c r="C14" s="5" t="s">
        <v>389</v>
      </c>
      <c r="D14" s="5" t="s">
        <v>405</v>
      </c>
      <c r="E14" s="38" t="s">
        <v>447</v>
      </c>
      <c r="F14" s="5" t="s">
        <v>428</v>
      </c>
    </row>
    <row r="15" spans="1:6" ht="64" x14ac:dyDescent="0.2">
      <c r="A15" s="5" t="s">
        <v>380</v>
      </c>
      <c r="B15" s="5" t="s">
        <v>406</v>
      </c>
      <c r="C15" s="5" t="s">
        <v>390</v>
      </c>
      <c r="D15" s="5" t="s">
        <v>429</v>
      </c>
      <c r="E15" s="4" t="s">
        <v>448</v>
      </c>
      <c r="F15" s="5" t="s">
        <v>76</v>
      </c>
    </row>
    <row r="16" spans="1:6" ht="128" x14ac:dyDescent="0.2">
      <c r="A16" s="5" t="s">
        <v>381</v>
      </c>
      <c r="B16" s="5" t="s">
        <v>407</v>
      </c>
      <c r="C16" s="5" t="s">
        <v>391</v>
      </c>
      <c r="D16" s="5"/>
      <c r="E16" s="38" t="s">
        <v>449</v>
      </c>
      <c r="F16" s="5" t="s">
        <v>75</v>
      </c>
    </row>
    <row r="17" spans="1:6" x14ac:dyDescent="0.2">
      <c r="B17" s="5"/>
      <c r="C17" s="5"/>
      <c r="D17" s="5"/>
      <c r="E17" s="4"/>
      <c r="F17" s="5"/>
    </row>
    <row r="18" spans="1:6" x14ac:dyDescent="0.2">
      <c r="A18" s="5"/>
      <c r="B18" s="5"/>
      <c r="C18" s="5"/>
      <c r="D18" s="5"/>
      <c r="E18" s="4"/>
      <c r="F18" s="5"/>
    </row>
    <row r="19" spans="1:6" x14ac:dyDescent="0.2">
      <c r="A19" s="5"/>
      <c r="B19" s="5"/>
      <c r="C19" s="5"/>
      <c r="D19" s="5"/>
      <c r="E19" s="4"/>
      <c r="F19" s="5"/>
    </row>
    <row r="20" spans="1:6" x14ac:dyDescent="0.2">
      <c r="A20" s="5"/>
      <c r="B20" s="5"/>
      <c r="C20" s="5"/>
      <c r="D20" s="5"/>
      <c r="E20" s="4"/>
      <c r="F20" s="5"/>
    </row>
    <row r="21" spans="1:6" x14ac:dyDescent="0.2">
      <c r="A21" s="5"/>
      <c r="B21" s="5"/>
      <c r="C21" s="5"/>
      <c r="D21" s="5"/>
      <c r="E21" s="4"/>
      <c r="F21" s="5"/>
    </row>
    <row r="22" spans="1:6" x14ac:dyDescent="0.2">
      <c r="A22" s="5"/>
      <c r="B22" s="5"/>
      <c r="C22" s="5"/>
      <c r="D22" s="5"/>
      <c r="E22" s="4"/>
      <c r="F22" s="5"/>
    </row>
    <row r="23" spans="1:6" x14ac:dyDescent="0.2">
      <c r="A23" s="5"/>
      <c r="B23" s="5"/>
      <c r="C23" s="5"/>
      <c r="D23" s="5"/>
      <c r="E23" s="4"/>
      <c r="F23" s="5"/>
    </row>
    <row r="24" spans="1:6" x14ac:dyDescent="0.2">
      <c r="A24" s="5"/>
      <c r="B24" s="5"/>
      <c r="C24" s="5"/>
      <c r="D24" s="5"/>
      <c r="E24" s="4"/>
      <c r="F24" s="5"/>
    </row>
    <row r="25" spans="1:6" x14ac:dyDescent="0.2">
      <c r="A25" s="5"/>
      <c r="B25" s="5"/>
      <c r="C25" s="5"/>
      <c r="D25" s="5"/>
      <c r="E25" s="4"/>
      <c r="F25"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4"/>
  <sheetViews>
    <sheetView workbookViewId="0">
      <pane ySplit="1" topLeftCell="A2" activePane="bottomLeft" state="frozen"/>
      <selection pane="bottomLeft" activeCell="E5" sqref="E5"/>
    </sheetView>
  </sheetViews>
  <sheetFormatPr baseColWidth="10" defaultColWidth="8.83203125" defaultRowHeight="15" x14ac:dyDescent="0.2"/>
  <cols>
    <col min="1" max="1" width="29.6640625" customWidth="1"/>
    <col min="2" max="2" width="25" customWidth="1"/>
    <col min="3" max="3" width="23.83203125" customWidth="1"/>
    <col min="4" max="4" width="26.83203125" customWidth="1"/>
    <col min="5" max="5" width="29" customWidth="1"/>
  </cols>
  <sheetData>
    <row r="1" spans="1:5" x14ac:dyDescent="0.2">
      <c r="A1" s="44" t="s">
        <v>506</v>
      </c>
      <c r="B1" s="44" t="s">
        <v>507</v>
      </c>
      <c r="C1" s="44" t="s">
        <v>508</v>
      </c>
      <c r="D1" s="44" t="s">
        <v>509</v>
      </c>
      <c r="E1" s="44" t="s">
        <v>3</v>
      </c>
    </row>
    <row r="2" spans="1:5" ht="32" x14ac:dyDescent="0.2">
      <c r="A2" s="10" t="s">
        <v>368</v>
      </c>
      <c r="B2" s="45"/>
      <c r="C2" s="45"/>
      <c r="D2" s="46"/>
      <c r="E2" s="10"/>
    </row>
    <row r="3" spans="1:5" ht="48" x14ac:dyDescent="0.2">
      <c r="A3" s="10" t="s">
        <v>491</v>
      </c>
      <c r="B3" s="45"/>
      <c r="C3" s="45"/>
      <c r="D3" s="45"/>
      <c r="E3" s="10" t="s">
        <v>492</v>
      </c>
    </row>
    <row r="4" spans="1:5" ht="32" x14ac:dyDescent="0.2">
      <c r="A4" s="10" t="s">
        <v>370</v>
      </c>
      <c r="B4" s="45"/>
      <c r="C4" s="45"/>
      <c r="D4" s="45"/>
      <c r="E4" s="10" t="s">
        <v>493</v>
      </c>
    </row>
    <row r="5" spans="1:5" ht="48" x14ac:dyDescent="0.2">
      <c r="A5" s="10" t="s">
        <v>373</v>
      </c>
      <c r="B5" s="45"/>
      <c r="C5" s="45"/>
      <c r="D5" s="45"/>
      <c r="E5" s="10" t="s">
        <v>494</v>
      </c>
    </row>
    <row r="6" spans="1:5" ht="32" x14ac:dyDescent="0.2">
      <c r="A6" s="10" t="s">
        <v>495</v>
      </c>
      <c r="B6" s="45"/>
      <c r="C6" s="46"/>
      <c r="D6" s="45"/>
      <c r="E6" s="10" t="s">
        <v>496</v>
      </c>
    </row>
    <row r="7" spans="1:5" ht="48" x14ac:dyDescent="0.2">
      <c r="A7" s="10" t="s">
        <v>374</v>
      </c>
      <c r="B7" s="45"/>
      <c r="C7" s="46"/>
      <c r="D7" s="45"/>
      <c r="E7" s="10" t="s">
        <v>497</v>
      </c>
    </row>
    <row r="8" spans="1:5" ht="32" x14ac:dyDescent="0.2">
      <c r="A8" s="10" t="s">
        <v>498</v>
      </c>
      <c r="B8" s="45"/>
      <c r="C8" s="46"/>
      <c r="D8" s="45"/>
      <c r="E8" s="10"/>
    </row>
    <row r="9" spans="1:5" ht="32" x14ac:dyDescent="0.2">
      <c r="A9" s="10" t="s">
        <v>499</v>
      </c>
      <c r="B9" s="45"/>
      <c r="C9" s="46"/>
      <c r="D9" s="45"/>
      <c r="E9" s="10"/>
    </row>
    <row r="10" spans="1:5" ht="32" x14ac:dyDescent="0.2">
      <c r="A10" s="10" t="s">
        <v>510</v>
      </c>
      <c r="B10" s="45"/>
      <c r="C10" s="45"/>
      <c r="D10" s="45"/>
      <c r="E10" s="10"/>
    </row>
    <row r="11" spans="1:5" ht="16" x14ac:dyDescent="0.2">
      <c r="A11" s="10" t="s">
        <v>500</v>
      </c>
      <c r="B11" s="45"/>
      <c r="C11" s="45"/>
      <c r="D11" s="45"/>
      <c r="E11" s="10"/>
    </row>
    <row r="12" spans="1:5" ht="32" x14ac:dyDescent="0.2">
      <c r="A12" s="10" t="s">
        <v>501</v>
      </c>
      <c r="B12" s="45"/>
      <c r="C12" s="45"/>
      <c r="D12" s="46"/>
      <c r="E12" s="10"/>
    </row>
    <row r="13" spans="1:5" ht="32" x14ac:dyDescent="0.2">
      <c r="A13" s="10" t="s">
        <v>502</v>
      </c>
      <c r="B13" s="45"/>
      <c r="C13" s="45"/>
      <c r="D13" s="46"/>
      <c r="E13" s="10"/>
    </row>
    <row r="14" spans="1:5" ht="48" x14ac:dyDescent="0.2">
      <c r="A14" s="10" t="s">
        <v>503</v>
      </c>
      <c r="B14" s="45"/>
      <c r="C14" s="45"/>
      <c r="D14" s="45"/>
      <c r="E14" s="10" t="s">
        <v>504</v>
      </c>
    </row>
    <row r="15" spans="1:5" ht="32" x14ac:dyDescent="0.2">
      <c r="A15" s="10" t="s">
        <v>505</v>
      </c>
      <c r="B15" s="46"/>
      <c r="C15" s="45"/>
      <c r="D15" s="45"/>
      <c r="E15" s="10"/>
    </row>
    <row r="16" spans="1:5" x14ac:dyDescent="0.2">
      <c r="A16" s="42"/>
      <c r="B16" s="43"/>
      <c r="C16" s="43"/>
    </row>
    <row r="17" spans="1:3" x14ac:dyDescent="0.2">
      <c r="A17" s="4"/>
      <c r="B17" s="5"/>
      <c r="C17" s="5"/>
    </row>
    <row r="18" spans="1:3" x14ac:dyDescent="0.2">
      <c r="A18" s="4"/>
      <c r="B18" s="5"/>
      <c r="C18" s="5"/>
    </row>
    <row r="19" spans="1:3" x14ac:dyDescent="0.2">
      <c r="A19" s="4"/>
      <c r="B19" s="5"/>
      <c r="C19" s="5"/>
    </row>
    <row r="20" spans="1:3" x14ac:dyDescent="0.2">
      <c r="A20" s="4"/>
      <c r="B20" s="5"/>
      <c r="C20" s="5"/>
    </row>
    <row r="21" spans="1:3" x14ac:dyDescent="0.2">
      <c r="A21" s="4"/>
      <c r="B21" s="5"/>
      <c r="C21" s="5"/>
    </row>
    <row r="22" spans="1:3" x14ac:dyDescent="0.2">
      <c r="A22" s="4"/>
      <c r="B22" s="5"/>
      <c r="C22" s="5"/>
    </row>
    <row r="23" spans="1:3" x14ac:dyDescent="0.2">
      <c r="A23" s="4"/>
      <c r="B23" s="5"/>
      <c r="C23" s="5"/>
    </row>
    <row r="24" spans="1:3" x14ac:dyDescent="0.2">
      <c r="A24" s="4"/>
      <c r="B24" s="5"/>
      <c r="C24" s="5"/>
    </row>
    <row r="25" spans="1:3" x14ac:dyDescent="0.2">
      <c r="A25" s="4"/>
      <c r="B25" s="5"/>
      <c r="C25" s="5"/>
    </row>
    <row r="26" spans="1:3" x14ac:dyDescent="0.2">
      <c r="A26" s="4"/>
      <c r="B26" s="5"/>
      <c r="C26" s="5"/>
    </row>
    <row r="27" spans="1:3" x14ac:dyDescent="0.2">
      <c r="A27" s="4"/>
      <c r="B27" s="5"/>
      <c r="C27" s="5"/>
    </row>
    <row r="28" spans="1:3" x14ac:dyDescent="0.2">
      <c r="A28" s="4"/>
      <c r="B28" s="5"/>
      <c r="C28" s="5"/>
    </row>
    <row r="29" spans="1:3" x14ac:dyDescent="0.2">
      <c r="A29" s="4"/>
      <c r="B29" s="5"/>
      <c r="C29" s="5"/>
    </row>
    <row r="30" spans="1:3" x14ac:dyDescent="0.2">
      <c r="A30" s="4"/>
      <c r="B30" s="5"/>
      <c r="C30" s="5"/>
    </row>
    <row r="31" spans="1:3" x14ac:dyDescent="0.2">
      <c r="A31" s="4"/>
      <c r="B31" s="5"/>
      <c r="C31" s="5"/>
    </row>
    <row r="32" spans="1:3" x14ac:dyDescent="0.2">
      <c r="A32" s="4"/>
      <c r="B32" s="5"/>
      <c r="C32" s="5"/>
    </row>
    <row r="33" spans="1:3" x14ac:dyDescent="0.2">
      <c r="A33" s="4"/>
      <c r="B33" s="5"/>
      <c r="C33" s="5"/>
    </row>
    <row r="34" spans="1:3" x14ac:dyDescent="0.2">
      <c r="A34" s="4"/>
      <c r="B34" s="5"/>
      <c r="C34" s="5"/>
    </row>
    <row r="35" spans="1:3" x14ac:dyDescent="0.2">
      <c r="A35" s="4"/>
      <c r="B35" s="5"/>
      <c r="C35" s="5"/>
    </row>
    <row r="36" spans="1:3" x14ac:dyDescent="0.2">
      <c r="A36" s="4"/>
      <c r="B36" s="5"/>
      <c r="C36" s="5"/>
    </row>
    <row r="37" spans="1:3" x14ac:dyDescent="0.2">
      <c r="A37" s="4"/>
      <c r="B37" s="5"/>
      <c r="C37" s="5"/>
    </row>
    <row r="38" spans="1:3" x14ac:dyDescent="0.2">
      <c r="A38" s="4"/>
      <c r="B38" s="5"/>
      <c r="C38" s="5"/>
    </row>
    <row r="39" spans="1:3" x14ac:dyDescent="0.2">
      <c r="A39" s="4"/>
      <c r="B39" s="5"/>
      <c r="C39" s="5"/>
    </row>
    <row r="40" spans="1:3" x14ac:dyDescent="0.2">
      <c r="A40" s="4"/>
      <c r="B40" s="5"/>
      <c r="C40" s="5"/>
    </row>
    <row r="41" spans="1:3" x14ac:dyDescent="0.2">
      <c r="A41" s="4"/>
      <c r="B41" s="5"/>
      <c r="C41" s="5"/>
    </row>
    <row r="42" spans="1:3" x14ac:dyDescent="0.2">
      <c r="A42" s="4"/>
      <c r="B42" s="5"/>
      <c r="C42" s="5"/>
    </row>
    <row r="43" spans="1:3" x14ac:dyDescent="0.2">
      <c r="A43" s="4"/>
      <c r="B43" s="5"/>
      <c r="C43" s="5"/>
    </row>
    <row r="44" spans="1:3" x14ac:dyDescent="0.2">
      <c r="A44" s="4"/>
      <c r="B44" s="5"/>
      <c r="C44" s="5"/>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9"/>
  <sheetViews>
    <sheetView workbookViewId="0">
      <pane ySplit="1" topLeftCell="A2" activePane="bottomLeft" state="frozen"/>
      <selection pane="bottomLeft" activeCell="D12" sqref="D12"/>
    </sheetView>
  </sheetViews>
  <sheetFormatPr baseColWidth="10" defaultColWidth="8.83203125" defaultRowHeight="15" x14ac:dyDescent="0.2"/>
  <cols>
    <col min="1" max="1" width="28" customWidth="1"/>
    <col min="2" max="2" width="50" customWidth="1"/>
    <col min="3" max="3" width="18" customWidth="1"/>
    <col min="4" max="4" width="60" customWidth="1"/>
  </cols>
  <sheetData>
    <row r="1" spans="1:4" ht="16" x14ac:dyDescent="0.2">
      <c r="A1" s="1" t="s">
        <v>26</v>
      </c>
      <c r="B1" s="1" t="s">
        <v>511</v>
      </c>
      <c r="C1" s="1" t="s">
        <v>27</v>
      </c>
      <c r="D1" s="1" t="s">
        <v>28</v>
      </c>
    </row>
    <row r="2" spans="1:4" ht="64" x14ac:dyDescent="0.2">
      <c r="A2" s="5" t="s">
        <v>522</v>
      </c>
      <c r="B2" s="5" t="s">
        <v>518</v>
      </c>
      <c r="C2" s="4" t="s">
        <v>512</v>
      </c>
      <c r="D2" s="5" t="s">
        <v>513</v>
      </c>
    </row>
    <row r="3" spans="1:4" ht="80" x14ac:dyDescent="0.2">
      <c r="A3" s="5" t="s">
        <v>514</v>
      </c>
      <c r="B3" s="5" t="s">
        <v>519</v>
      </c>
      <c r="C3" s="4" t="s">
        <v>512</v>
      </c>
      <c r="D3" s="5" t="s">
        <v>515</v>
      </c>
    </row>
    <row r="4" spans="1:4" ht="80" x14ac:dyDescent="0.2">
      <c r="A4" s="5" t="s">
        <v>516</v>
      </c>
      <c r="B4" s="5" t="s">
        <v>520</v>
      </c>
      <c r="C4" s="4" t="s">
        <v>517</v>
      </c>
      <c r="D4" s="5" t="s">
        <v>521</v>
      </c>
    </row>
    <row r="5" spans="1:4" ht="64" x14ac:dyDescent="0.2">
      <c r="A5" s="5" t="s">
        <v>523</v>
      </c>
      <c r="B5" s="5"/>
      <c r="C5" s="4" t="s">
        <v>517</v>
      </c>
      <c r="D5" s="5" t="s">
        <v>524</v>
      </c>
    </row>
    <row r="6" spans="1:4" ht="32" x14ac:dyDescent="0.2">
      <c r="A6" s="5" t="s">
        <v>525</v>
      </c>
      <c r="B6" s="5" t="s">
        <v>526</v>
      </c>
      <c r="C6" s="4" t="s">
        <v>512</v>
      </c>
      <c r="D6" s="5" t="s">
        <v>527</v>
      </c>
    </row>
    <row r="7" spans="1:4" x14ac:dyDescent="0.2">
      <c r="A7" s="5"/>
      <c r="B7" s="5"/>
      <c r="C7" s="4"/>
      <c r="D7" s="5"/>
    </row>
    <row r="8" spans="1:4" x14ac:dyDescent="0.2">
      <c r="A8" s="5"/>
      <c r="B8" s="5"/>
      <c r="C8" s="4"/>
      <c r="D8" s="5"/>
    </row>
    <row r="9" spans="1:4" x14ac:dyDescent="0.2">
      <c r="A9" s="5"/>
      <c r="B9" s="5"/>
      <c r="C9" s="4"/>
      <c r="D9" s="5"/>
    </row>
    <row r="10" spans="1:4" x14ac:dyDescent="0.2">
      <c r="A10" s="5"/>
      <c r="B10" s="5"/>
      <c r="C10" s="4"/>
      <c r="D10" s="5"/>
    </row>
    <row r="11" spans="1:4" x14ac:dyDescent="0.2">
      <c r="A11" s="5"/>
      <c r="B11" s="5"/>
      <c r="C11" s="4"/>
      <c r="D11" s="5"/>
    </row>
    <row r="12" spans="1:4" x14ac:dyDescent="0.2">
      <c r="A12" s="5"/>
      <c r="B12" s="5"/>
      <c r="C12" s="4"/>
      <c r="D12" s="5"/>
    </row>
    <row r="13" spans="1:4" x14ac:dyDescent="0.2">
      <c r="A13" s="5"/>
      <c r="B13" s="5"/>
      <c r="C13" s="4"/>
      <c r="D13" s="5"/>
    </row>
    <row r="14" spans="1:4" x14ac:dyDescent="0.2">
      <c r="A14" s="5"/>
      <c r="B14" s="5"/>
      <c r="C14" s="4"/>
      <c r="D14" s="5"/>
    </row>
    <row r="15" spans="1:4" x14ac:dyDescent="0.2">
      <c r="A15" s="5"/>
      <c r="B15" s="5"/>
      <c r="C15" s="4"/>
      <c r="D15" s="5"/>
    </row>
    <row r="16" spans="1:4" x14ac:dyDescent="0.2">
      <c r="A16" s="5"/>
      <c r="B16" s="5"/>
      <c r="C16" s="4"/>
      <c r="D16" s="5"/>
    </row>
    <row r="17" spans="1:4" x14ac:dyDescent="0.2">
      <c r="A17" s="5"/>
      <c r="B17" s="5"/>
      <c r="C17" s="4"/>
      <c r="D17" s="5"/>
    </row>
    <row r="18" spans="1:4" x14ac:dyDescent="0.2">
      <c r="A18" s="5"/>
      <c r="B18" s="5"/>
      <c r="C18" s="4"/>
      <c r="D18" s="5"/>
    </row>
    <row r="19" spans="1:4" x14ac:dyDescent="0.2">
      <c r="A19" s="5"/>
      <c r="B19" s="5"/>
      <c r="C19" s="4"/>
      <c r="D19" s="5"/>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751EC-BF52-4B4F-A540-E04015C08278}">
  <dimension ref="A1:C36"/>
  <sheetViews>
    <sheetView topLeftCell="A14" workbookViewId="0">
      <selection activeCell="B28" sqref="B28"/>
    </sheetView>
  </sheetViews>
  <sheetFormatPr baseColWidth="10" defaultRowHeight="15" x14ac:dyDescent="0.2"/>
  <cols>
    <col min="1" max="1" width="39.5" customWidth="1"/>
    <col min="2" max="2" width="79.1640625" customWidth="1"/>
    <col min="3" max="3" width="65.1640625" customWidth="1"/>
    <col min="4" max="4" width="32.33203125" customWidth="1"/>
  </cols>
  <sheetData>
    <row r="1" spans="1:2" ht="41" customHeight="1" x14ac:dyDescent="0.2">
      <c r="A1" s="1" t="s">
        <v>476</v>
      </c>
      <c r="B1" s="1" t="s">
        <v>3</v>
      </c>
    </row>
    <row r="2" spans="1:2" ht="29" customHeight="1" x14ac:dyDescent="0.2">
      <c r="A2" s="40" t="s">
        <v>458</v>
      </c>
      <c r="B2" s="41" t="s">
        <v>460</v>
      </c>
    </row>
    <row r="3" spans="1:2" ht="16" x14ac:dyDescent="0.2">
      <c r="A3" s="10" t="s">
        <v>459</v>
      </c>
      <c r="B3" s="14" t="s">
        <v>461</v>
      </c>
    </row>
    <row r="4" spans="1:2" ht="16" x14ac:dyDescent="0.2">
      <c r="A4" s="10" t="s">
        <v>459</v>
      </c>
      <c r="B4" s="10" t="s">
        <v>462</v>
      </c>
    </row>
    <row r="5" spans="1:2" ht="64" x14ac:dyDescent="0.2">
      <c r="A5" s="10" t="s">
        <v>463</v>
      </c>
      <c r="B5" s="10" t="s">
        <v>464</v>
      </c>
    </row>
    <row r="6" spans="1:2" ht="48" x14ac:dyDescent="0.2">
      <c r="A6" s="10" t="s">
        <v>463</v>
      </c>
      <c r="B6" s="10" t="s">
        <v>465</v>
      </c>
    </row>
    <row r="7" spans="1:2" ht="48" x14ac:dyDescent="0.2">
      <c r="A7" s="10" t="s">
        <v>463</v>
      </c>
      <c r="B7" s="10" t="s">
        <v>466</v>
      </c>
    </row>
    <row r="8" spans="1:2" ht="16" x14ac:dyDescent="0.2">
      <c r="A8" s="10" t="s">
        <v>468</v>
      </c>
      <c r="B8" s="10" t="s">
        <v>469</v>
      </c>
    </row>
    <row r="9" spans="1:2" ht="16" x14ac:dyDescent="0.2">
      <c r="A9" s="10" t="s">
        <v>471</v>
      </c>
      <c r="B9" s="10" t="s">
        <v>470</v>
      </c>
    </row>
    <row r="10" spans="1:2" ht="16" x14ac:dyDescent="0.2">
      <c r="A10" s="10" t="s">
        <v>467</v>
      </c>
      <c r="B10" s="10" t="s">
        <v>472</v>
      </c>
    </row>
    <row r="12" spans="1:2" ht="16" x14ac:dyDescent="0.2">
      <c r="A12" s="10" t="s">
        <v>473</v>
      </c>
      <c r="B12" s="10" t="s">
        <v>477</v>
      </c>
    </row>
    <row r="13" spans="1:2" ht="16" x14ac:dyDescent="0.2">
      <c r="A13" s="10" t="s">
        <v>474</v>
      </c>
      <c r="B13" s="10" t="s">
        <v>478</v>
      </c>
    </row>
    <row r="14" spans="1:2" ht="48" x14ac:dyDescent="0.2">
      <c r="A14" s="10" t="s">
        <v>474</v>
      </c>
      <c r="B14" s="10" t="s">
        <v>479</v>
      </c>
    </row>
    <row r="15" spans="1:2" ht="32" x14ac:dyDescent="0.2">
      <c r="A15" s="10" t="s">
        <v>474</v>
      </c>
      <c r="B15" s="10" t="s">
        <v>480</v>
      </c>
    </row>
    <row r="16" spans="1:2" ht="32" x14ac:dyDescent="0.2">
      <c r="A16" s="10" t="s">
        <v>481</v>
      </c>
      <c r="B16" s="10" t="s">
        <v>482</v>
      </c>
    </row>
    <row r="17" spans="1:3" ht="48" x14ac:dyDescent="0.2">
      <c r="A17" s="10" t="s">
        <v>486</v>
      </c>
      <c r="B17" s="10" t="s">
        <v>487</v>
      </c>
    </row>
    <row r="18" spans="1:3" ht="32" x14ac:dyDescent="0.2">
      <c r="A18" s="10" t="s">
        <v>475</v>
      </c>
      <c r="B18" s="10" t="s">
        <v>483</v>
      </c>
    </row>
    <row r="19" spans="1:3" x14ac:dyDescent="0.2">
      <c r="A19" s="10"/>
      <c r="B19" s="10"/>
    </row>
    <row r="20" spans="1:3" x14ac:dyDescent="0.2">
      <c r="A20" s="9"/>
      <c r="B20" s="10"/>
    </row>
    <row r="21" spans="1:3" ht="48" x14ac:dyDescent="0.2">
      <c r="A21" s="39" t="s">
        <v>484</v>
      </c>
      <c r="B21" s="10" t="s">
        <v>485</v>
      </c>
    </row>
    <row r="22" spans="1:3" ht="16" x14ac:dyDescent="0.2">
      <c r="A22" s="39" t="s">
        <v>25</v>
      </c>
      <c r="B22" s="10" t="s">
        <v>488</v>
      </c>
    </row>
    <row r="23" spans="1:3" ht="48" x14ac:dyDescent="0.2">
      <c r="A23" s="10" t="s">
        <v>490</v>
      </c>
      <c r="B23" s="10" t="s">
        <v>489</v>
      </c>
    </row>
    <row r="24" spans="1:3" x14ac:dyDescent="0.2">
      <c r="A24" s="39"/>
      <c r="B24" s="9"/>
    </row>
    <row r="25" spans="1:3" x14ac:dyDescent="0.2">
      <c r="A25" s="13"/>
      <c r="C25" s="13"/>
    </row>
    <row r="26" spans="1:3" x14ac:dyDescent="0.2">
      <c r="A26" s="13"/>
      <c r="C26" s="13"/>
    </row>
    <row r="27" spans="1:3" x14ac:dyDescent="0.2">
      <c r="A27" s="13"/>
      <c r="C27" s="13"/>
    </row>
    <row r="28" spans="1:3" x14ac:dyDescent="0.2">
      <c r="A28" s="13"/>
      <c r="C28" s="13"/>
    </row>
    <row r="29" spans="1:3" x14ac:dyDescent="0.2">
      <c r="A29" s="13"/>
      <c r="C29" s="13"/>
    </row>
    <row r="30" spans="1:3" x14ac:dyDescent="0.2">
      <c r="A30" s="13"/>
      <c r="C30" s="13"/>
    </row>
    <row r="31" spans="1:3" x14ac:dyDescent="0.2">
      <c r="A31" s="13"/>
      <c r="C31" s="13"/>
    </row>
    <row r="32" spans="1:3" x14ac:dyDescent="0.2">
      <c r="A32" s="13"/>
      <c r="C32" s="13"/>
    </row>
    <row r="33" spans="1:3" x14ac:dyDescent="0.2">
      <c r="A33" s="13"/>
      <c r="C33" s="13"/>
    </row>
    <row r="34" spans="1:3" x14ac:dyDescent="0.2">
      <c r="A34" s="13"/>
      <c r="C34" s="13"/>
    </row>
    <row r="35" spans="1:3" x14ac:dyDescent="0.2">
      <c r="A35" s="13"/>
    </row>
    <row r="36" spans="1:3" x14ac:dyDescent="0.2">
      <c r="A36"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Data_Entry_SOLO</vt:lpstr>
      <vt:lpstr>Data_Entry_TA_Coding</vt:lpstr>
      <vt:lpstr>TA_Code_Tracker</vt:lpstr>
      <vt:lpstr>Theme_Tracker</vt:lpstr>
      <vt:lpstr>Multi-Study-Patterns</vt:lpstr>
      <vt:lpstr>Hypothesis_Tracker</vt:lpstr>
      <vt:lpstr>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SYKES, Jen (NHS ENGLAND - X26)</cp:lastModifiedBy>
  <dcterms:created xsi:type="dcterms:W3CDTF">2026-05-27T20:50:54Z</dcterms:created>
  <dcterms:modified xsi:type="dcterms:W3CDTF">2026-10-02T11:16:37Z</dcterms:modified>
</cp:coreProperties>
</file>